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EP\Project\"/>
    </mc:Choice>
  </mc:AlternateContent>
  <xr:revisionPtr revIDLastSave="0" documentId="8_{5530B37E-7A7D-49C0-BD5B-7BDE0498EEB5}" xr6:coauthVersionLast="47" xr6:coauthVersionMax="47" xr10:uidLastSave="{00000000-0000-0000-0000-000000000000}"/>
  <bookViews>
    <workbookView xWindow="-120" yWindow="-120" windowWidth="20730" windowHeight="11160" xr2:uid="{A7199445-4D3E-4DAD-B789-68AE6F105397}"/>
  </bookViews>
  <sheets>
    <sheet name="Student" sheetId="1" r:id="rId1"/>
    <sheet name="Sales Data" sheetId="2" r:id="rId2"/>
    <sheet name="Employee" sheetId="3" r:id="rId3"/>
    <sheet name="Text Function" sheetId="4" r:id="rId4"/>
    <sheet name="Date and Tim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  <c r="K2" i="5"/>
  <c r="B2" i="5" s="1"/>
  <c r="B24" i="2" a="1"/>
  <c r="B24" i="2" s="1"/>
  <c r="O13" i="2"/>
  <c r="F2" i="4"/>
  <c r="F3" i="4"/>
  <c r="F4" i="4"/>
  <c r="F5" i="4"/>
  <c r="E2" i="4"/>
  <c r="E3" i="4"/>
  <c r="E4" i="4"/>
  <c r="E5" i="4"/>
  <c r="C2" i="4"/>
  <c r="D2" i="4" s="1"/>
  <c r="C3" i="4"/>
  <c r="D3" i="4" s="1"/>
  <c r="C4" i="4"/>
  <c r="D4" i="4" s="1"/>
  <c r="C5" i="4"/>
  <c r="D5" i="4" s="1"/>
  <c r="B2" i="4"/>
  <c r="B3" i="4"/>
  <c r="B4" i="4"/>
  <c r="B5" i="4"/>
  <c r="L3" i="2"/>
  <c r="L6" i="2"/>
  <c r="L7" i="2"/>
  <c r="L10" i="2"/>
  <c r="L11" i="2"/>
  <c r="L14" i="2"/>
  <c r="L15" i="2"/>
  <c r="L18" i="2"/>
  <c r="L19" i="2"/>
  <c r="L2" i="2"/>
  <c r="K3" i="2"/>
  <c r="K6" i="2"/>
  <c r="K7" i="2"/>
  <c r="K10" i="2"/>
  <c r="K11" i="2"/>
  <c r="K14" i="2"/>
  <c r="K15" i="2"/>
  <c r="K18" i="2"/>
  <c r="K19" i="2"/>
  <c r="K2" i="2"/>
  <c r="J3" i="2"/>
  <c r="J6" i="2"/>
  <c r="J7" i="2"/>
  <c r="J10" i="2"/>
  <c r="J11" i="2"/>
  <c r="J14" i="2"/>
  <c r="J15" i="2"/>
  <c r="J18" i="2"/>
  <c r="J19" i="2"/>
  <c r="J2" i="2"/>
  <c r="I2" i="3"/>
  <c r="N6" i="1"/>
  <c r="M2" i="1"/>
  <c r="J2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3" i="1"/>
  <c r="J4" i="1"/>
  <c r="J5" i="1"/>
  <c r="J6" i="1"/>
  <c r="J7" i="1"/>
  <c r="J8" i="1"/>
  <c r="G3" i="2"/>
  <c r="H3" i="2" s="1"/>
  <c r="G4" i="2"/>
  <c r="H4" i="2" s="1"/>
  <c r="O2" i="2" s="1"/>
  <c r="G5" i="2"/>
  <c r="H5" i="2" s="1"/>
  <c r="L5" i="2" s="1"/>
  <c r="G6" i="2"/>
  <c r="H6" i="2" s="1"/>
  <c r="G7" i="2"/>
  <c r="H7" i="2" s="1"/>
  <c r="G8" i="2"/>
  <c r="H8" i="2" s="1"/>
  <c r="L8" i="2" s="1"/>
  <c r="G9" i="2"/>
  <c r="H9" i="2" s="1"/>
  <c r="L9" i="2" s="1"/>
  <c r="G10" i="2"/>
  <c r="H10" i="2" s="1"/>
  <c r="G11" i="2"/>
  <c r="H11" i="2" s="1"/>
  <c r="G12" i="2"/>
  <c r="H12" i="2" s="1"/>
  <c r="L12" i="2" s="1"/>
  <c r="G13" i="2"/>
  <c r="H13" i="2" s="1"/>
  <c r="L13" i="2" s="1"/>
  <c r="G14" i="2"/>
  <c r="H14" i="2" s="1"/>
  <c r="G15" i="2"/>
  <c r="H15" i="2" s="1"/>
  <c r="G16" i="2"/>
  <c r="H16" i="2" s="1"/>
  <c r="L16" i="2" s="1"/>
  <c r="G17" i="2"/>
  <c r="H17" i="2" s="1"/>
  <c r="L17" i="2" s="1"/>
  <c r="G18" i="2"/>
  <c r="H18" i="2" s="1"/>
  <c r="G19" i="2"/>
  <c r="H19" i="2" s="1"/>
  <c r="G20" i="2"/>
  <c r="H20" i="2" s="1"/>
  <c r="L20" i="2" s="1"/>
  <c r="G21" i="2"/>
  <c r="H21" i="2" s="1"/>
  <c r="L21" i="2" s="1"/>
  <c r="G2" i="2"/>
  <c r="H2" i="2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H2" i="1"/>
  <c r="M9" i="1" s="1"/>
  <c r="I5" i="3" a="1"/>
  <c r="C17" i="5" l="1"/>
  <c r="C13" i="5"/>
  <c r="C9" i="5"/>
  <c r="I2" i="1"/>
  <c r="C21" i="5"/>
  <c r="C5" i="5"/>
  <c r="C20" i="5"/>
  <c r="C16" i="5"/>
  <c r="C12" i="5"/>
  <c r="C8" i="5"/>
  <c r="C4" i="5"/>
  <c r="C19" i="5"/>
  <c r="C15" i="5"/>
  <c r="C11" i="5"/>
  <c r="C7" i="5"/>
  <c r="C3" i="5"/>
  <c r="C18" i="5"/>
  <c r="C14" i="5"/>
  <c r="C10" i="5"/>
  <c r="C6" i="5"/>
  <c r="C2" i="5"/>
  <c r="B6" i="5"/>
  <c r="B21" i="5"/>
  <c r="B17" i="5"/>
  <c r="B13" i="5"/>
  <c r="B9" i="5"/>
  <c r="B5" i="5"/>
  <c r="B18" i="5"/>
  <c r="B14" i="5"/>
  <c r="B10" i="5"/>
  <c r="B20" i="5"/>
  <c r="B16" i="5"/>
  <c r="B12" i="5"/>
  <c r="B8" i="5"/>
  <c r="B4" i="5"/>
  <c r="B19" i="5"/>
  <c r="B15" i="5"/>
  <c r="B11" i="5"/>
  <c r="B7" i="5"/>
  <c r="B3" i="5"/>
  <c r="J21" i="2"/>
  <c r="J17" i="2"/>
  <c r="J13" i="2"/>
  <c r="J9" i="2"/>
  <c r="J5" i="2"/>
  <c r="K21" i="2"/>
  <c r="K17" i="2"/>
  <c r="K13" i="2"/>
  <c r="K9" i="2"/>
  <c r="K5" i="2"/>
  <c r="J20" i="2"/>
  <c r="J16" i="2"/>
  <c r="J12" i="2"/>
  <c r="J8" i="2"/>
  <c r="J4" i="2"/>
  <c r="K20" i="2"/>
  <c r="K16" i="2"/>
  <c r="K12" i="2"/>
  <c r="K8" i="2"/>
  <c r="K4" i="2"/>
  <c r="L4" i="2"/>
  <c r="I5" i="3"/>
  <c r="P6" i="2"/>
  <c r="O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<sst xmlns="http://schemas.openxmlformats.org/spreadsheetml/2006/main" count="193" uniqueCount="124">
  <si>
    <t>Name</t>
  </si>
  <si>
    <t>Science</t>
  </si>
  <si>
    <t>Total</t>
  </si>
  <si>
    <t>Grade</t>
  </si>
  <si>
    <t>Region</t>
  </si>
  <si>
    <t>Laptop</t>
  </si>
  <si>
    <t>North</t>
  </si>
  <si>
    <t>West</t>
  </si>
  <si>
    <t>East</t>
  </si>
  <si>
    <t>Keyboard</t>
  </si>
  <si>
    <t>South</t>
  </si>
  <si>
    <t>Monitor</t>
  </si>
  <si>
    <t>Mouse</t>
  </si>
  <si>
    <t>Printer</t>
  </si>
  <si>
    <t>Price</t>
  </si>
  <si>
    <t>Department</t>
  </si>
  <si>
    <t>Salary</t>
  </si>
  <si>
    <t>Joining Date</t>
  </si>
  <si>
    <t>HR</t>
  </si>
  <si>
    <t>IT</t>
  </si>
  <si>
    <t>Finance</t>
  </si>
  <si>
    <t>Marketing</t>
  </si>
  <si>
    <t>Student ID</t>
  </si>
  <si>
    <t>Math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</si>
  <si>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</si>
  <si>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</si>
  <si>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</si>
  <si>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</si>
  <si>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</si>
  <si>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</si>
  <si>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</si>
  <si>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</si>
  <si>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</si>
  <si>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</si>
  <si>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</si>
  <si>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</si>
  <si>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</si>
  <si>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</si>
  <si>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</si>
  <si>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</si>
  <si>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</si>
  <si>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</si>
  <si>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</si>
  <si>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</si>
  <si>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</si>
  <si>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</si>
  <si>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</si>
  <si>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</si>
  <si>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Salesperson</t>
  </si>
  <si>
    <t>Amount</t>
  </si>
  <si>
    <t>Date</t>
  </si>
  <si>
    <t>Person 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</si>
  <si>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</si>
  <si>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</si>
  <si>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</si>
  <si>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</si>
  <si>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</si>
  <si>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</si>
  <si>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</si>
  <si>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</si>
  <si>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</si>
  <si>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</si>
  <si>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</si>
  <si>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</si>
  <si>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</si>
  <si>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</si>
  <si>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</si>
  <si>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</si>
  <si>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</si>
  <si>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</si>
  <si>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</si>
  <si>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ID</t>
  </si>
  <si>
    <t>Employee ID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</si>
  <si>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</si>
  <si>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</si>
  <si>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</si>
  <si>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</si>
  <si>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</si>
  <si>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</si>
  <si>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</si>
  <si>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</si>
  <si>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</si>
  <si>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</si>
  <si>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</si>
  <si>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</si>
  <si>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</si>
  <si>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</si>
  <si>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</si>
  <si>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</si>
  <si>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</si>
  <si>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</si>
  <si>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</si>
  <si>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</si>
  <si>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Average</t>
  </si>
  <si>
    <t>Discount</t>
  </si>
  <si>
    <t>Fianl Price</t>
  </si>
  <si>
    <t>Student Marks(80+)</t>
  </si>
  <si>
    <t>Student Count(Math 50+)</t>
  </si>
  <si>
    <t>Products</t>
  </si>
  <si>
    <t>Sales</t>
  </si>
  <si>
    <t>Position</t>
  </si>
  <si>
    <t>Average (60+)</t>
  </si>
  <si>
    <t>Round</t>
  </si>
  <si>
    <t>Ceilng</t>
  </si>
  <si>
    <t>Floor</t>
  </si>
  <si>
    <t>Full Name</t>
  </si>
  <si>
    <t>Aarav Sharma</t>
  </si>
  <si>
    <t>Priya Kapoor</t>
  </si>
  <si>
    <t>Rohan Mehta</t>
  </si>
  <si>
    <t>Neha Verma</t>
  </si>
  <si>
    <t>First Name</t>
  </si>
  <si>
    <t>Last Name</t>
  </si>
  <si>
    <t>Find(Last Name)</t>
  </si>
  <si>
    <t>Upper</t>
  </si>
  <si>
    <t>Lower</t>
  </si>
  <si>
    <t>Cell Adress</t>
  </si>
  <si>
    <t>A2</t>
  </si>
  <si>
    <t>Indirect</t>
  </si>
  <si>
    <t>Data Height</t>
  </si>
  <si>
    <t>Birth Date</t>
  </si>
  <si>
    <t>Age</t>
  </si>
  <si>
    <t>Today</t>
  </si>
  <si>
    <t>Days</t>
  </si>
  <si>
    <t>Filter(80+ Score)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</si>
</sst>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&quot;₹&quot;\ #,##0.00"/>
    <numFmt numFmtId="165" formatCode="&quot;₹&quot;\ #,##0.0"/>
    <numFmt numFmtId="166" formatCode="&quot;₹&quot;\ #,##0"/>
    <numFmt numFmtId="167" formatCode="_ &quot;₹&quot;\ * #,##0_ ;_ &quot;₹&quot;\ * \-#,##0_ ;_ &quot;₹&quot;\ * &quot;-&quot;??_ ;_ @_ 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5" tint="-0.249977111117893"/>
      <name val="Calibri"/>
      <family val="2"/>
    </font>
    <font>
      <sz val="11"/>
      <color theme="5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1"/>
      </left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theme="1" tint="4.9989318521683403E-2"/>
      </left>
      <right style="medium">
        <color rgb="FF000000"/>
      </right>
      <top style="medium">
        <color rgb="FF000000"/>
      </top>
      <bottom style="medium">
        <color theme="1" tint="4.9989318521683403E-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 tint="4.9989318521683403E-2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4.9989318521683403E-2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2" fontId="3" fillId="0" borderId="4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0" fillId="0" borderId="0" xfId="0" applyNumberFormat="1"/>
    <xf numFmtId="166" fontId="3" fillId="0" borderId="4" xfId="0" applyNumberFormat="1" applyFont="1" applyBorder="1" applyAlignment="1">
      <alignment horizontal="center" vertical="center" wrapText="1"/>
    </xf>
    <xf numFmtId="166" fontId="0" fillId="0" borderId="0" xfId="0" applyNumberFormat="1"/>
    <xf numFmtId="10" fontId="0" fillId="0" borderId="0" xfId="0" applyNumberFormat="1"/>
    <xf numFmtId="9" fontId="3" fillId="0" borderId="4" xfId="0" applyNumberFormat="1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0" fillId="0" borderId="12" xfId="0" applyBorder="1"/>
    <xf numFmtId="0" fontId="5" fillId="2" borderId="11" xfId="0" applyFont="1" applyFill="1" applyBorder="1" applyAlignment="1">
      <alignment horizontal="center" vertical="center" wrapText="1"/>
    </xf>
    <xf numFmtId="0" fontId="1" fillId="0" borderId="0" xfId="0" applyFont="1"/>
    <xf numFmtId="0" fontId="2" fillId="2" borderId="13" xfId="0" applyFont="1" applyFill="1" applyBorder="1" applyAlignment="1">
      <alignment horizontal="center" vertical="center" wrapText="1"/>
    </xf>
    <xf numFmtId="0" fontId="0" fillId="0" borderId="1" xfId="0" applyBorder="1"/>
    <xf numFmtId="167" fontId="0" fillId="0" borderId="1" xfId="1" applyNumberFormat="1" applyFont="1" applyBorder="1"/>
    <xf numFmtId="166" fontId="0" fillId="0" borderId="1" xfId="0" applyNumberFormat="1" applyBorder="1"/>
    <xf numFmtId="0" fontId="0" fillId="0" borderId="14" xfId="0" applyBorder="1"/>
    <xf numFmtId="44" fontId="0" fillId="0" borderId="0" xfId="1" applyFont="1"/>
    <xf numFmtId="165" fontId="3" fillId="0" borderId="1" xfId="0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0" xfId="0" applyNumberFormat="1"/>
    <xf numFmtId="0" fontId="0" fillId="0" borderId="1" xfId="1" applyNumberFormat="1" applyFont="1" applyBorder="1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0" fillId="0" borderId="15" xfId="0" applyBorder="1"/>
  </cellXfs>
  <cellStyles count="2">
    <cellStyle name="Currency" xfId="1" builtinId="4"/>
    <cellStyle name="Normal" xfId="0" builtinId="0"/>
  </cellStyles>
  <dxfs count="18">
    <dxf>
      <numFmt numFmtId="0" formatCode="General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name val="Calibri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08691F-C800-445C-9F85-5AB478A348C0}" name="Table5" displayName="Table5" ref="A1:I21" totalsRowShown="0" tableBorderDxfId="17">
  <autoFilter ref="A1:I21" xr:uid="{5E08691F-C800-445C-9F85-5AB478A348C0}"/>
  <tableColumns count="9">
    <tableColumn id="1" xr3:uid="{70EA971F-DB3D-4AD4-BA1C-78A28FE40435}" name="Student ID" dataDxfId="16"/>
    <tableColumn id="2" xr3:uid="{F3F56FFD-C3ED-47DA-A13B-12F67E6FE38A}" name="Name" dataDxfId="15"/>
    <tableColumn id="3" xr3:uid="{A5770FA8-2A79-4E7A-B27E-EEF78B0D10B8}" name="Math" dataDxfId="14"/>
    <tableColumn id="4" xr3:uid="{544A6970-19BE-4D9D-9339-759A72EA410A}" name="Science" dataDxfId="13"/>
    <tableColumn id="5" xr3:uid="{CBDF16B9-2A92-4CBA-BBA0-BE7C522B95BE}" name="English" dataDxfId="12"/>
    <tableColumn id="6" xr3:uid="{049BF1E8-AFF0-457A-9093-1E43EEA96BD8}" name="Enrollment Date" dataDxfId="11"/>
    <tableColumn id="7" xr3:uid="{3AEF4233-458D-4A6B-81B0-B47C8191F823}" name="Total" dataDxfId="10">
      <calculatedColumnFormula>SUM(C2:E2)</calculatedColumnFormula>
    </tableColumn>
    <tableColumn id="8" xr3:uid="{27A3C708-84B9-4D6E-A7C2-E43AB98AB1F2}" name="Average" dataDxfId="9">
      <calculatedColumnFormula>AVERAGE(C2:E2)</calculatedColumnFormula>
    </tableColumn>
    <tableColumn id="9" xr3:uid="{B79E1BCA-5AA1-4451-B851-7F036E24869A}" name="Grade" dataDxfId="8">
      <calculatedColumnFormula>IF(H2&gt;80,"A",IF(H2&gt;70,"B",IF(H2&gt;60,"C",IF(H2&gt;50,"D","F"))))</calculatedColumnFormula>
    </tableColumn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A4AC67-0BBE-4D93-A00E-647CC4BFB54D}" name="Table3" displayName="Table3" ref="A1:F5" totalsRowShown="0" headerRowDxfId="7">
  <autoFilter ref="A1:F5" xr:uid="{0DA4AC67-0BBE-4D93-A00E-647CC4BFB5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33D623E-036E-4482-84A6-6AECDD9D66C6}" name="Full Name"/>
    <tableColumn id="2" xr3:uid="{091B1320-92B8-4B58-A03F-51CE55385C5B}" name="First Name" dataDxfId="6">
      <calculatedColumnFormula>LEFT(Table3[[#This Row],[Full Name]],5)</calculatedColumnFormula>
    </tableColumn>
    <tableColumn id="3" xr3:uid="{9D4584AA-BE0A-40F7-B60D-DC1821154039}" name="Last Name" dataDxfId="5">
      <calculatedColumnFormula>RIGHT(Table3[[#This Row],[Full Name]],6)</calculatedColumnFormula>
    </tableColumn>
    <tableColumn id="4" xr3:uid="{5A1F9EA2-C58B-491A-B139-A5A538032EBC}" name="Find(Last Name)" dataDxfId="4">
      <calculatedColumnFormula>FIND(Table3[[#This Row],[Last Name]],Table3[[#This Row],[Full Name]],1)</calculatedColumnFormula>
    </tableColumn>
    <tableColumn id="5" xr3:uid="{1BF4F51A-B133-4996-9695-0E074B4A6672}" name="Upper" dataDxfId="3">
      <calculatedColumnFormula>UPPER(Table3[[#This Row],[Full Name]])</calculatedColumnFormula>
    </tableColumn>
    <tableColumn id="6" xr3:uid="{00B75A22-BC8D-46AE-872A-F31DC1B3415C}" name="Lower" dataDxfId="2">
      <calculatedColumnFormula>LOWER(Table3[[#This Row],[Full Name]])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B704E6-104F-47FE-A565-3CF11AAD5033}" name="Table6" displayName="Table6" ref="A1:C21" totalsRowShown="0">
  <autoFilter ref="A1:C21" xr:uid="{E6B704E6-104F-47FE-A565-3CF11AAD5033}">
    <filterColumn colId="0" hiddenButton="1"/>
    <filterColumn colId="1" hiddenButton="1"/>
    <filterColumn colId="2" hiddenButton="1"/>
  </autoFilter>
  <tableColumns count="3">
    <tableColumn id="1" xr3:uid="{F7ED20BA-4FBA-41EB-8767-6EA4FB4DE8BE}" name="Birth Date" dataDxfId="1"/>
    <tableColumn id="2" xr3:uid="{343C505C-51ED-4F21-B0B9-CE70F3263D11}" name="Age">
      <calculatedColumnFormula>DATEDIF(A2,$K$2,"Y")</calculatedColumnFormula>
    </tableColumn>
    <tableColumn id="3" xr3:uid="{B30AD5C7-E814-4362-B80F-7A8980631F92}" name="Days" dataDxfId="0">
      <calculatedColumnFormula>DATEDIF(Table6[[#This Row],[Birth Date]],$K$2,"D")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0B3E-5AC3-4B26-B50B-593DD3901A2C}">
  <dimension ref="A1:W21"/>
  <sheetViews>
    <sheetView tabSelected="1" topLeftCell="J1" zoomScaleNormal="100" workbookViewId="0">
      <selection activeCell="O3" sqref="O3"/>
    </sheetView>
  </sheetViews>
  <sheetFormatPr defaultRowHeight="15" x14ac:dyDescent="0.25"/>
  <cols>
    <col min="1" max="1" width="12.42578125" customWidth="1"/>
    <col min="2" max="2" width="16.5703125" customWidth="1"/>
    <col min="3" max="3" width="11.42578125" customWidth="1"/>
    <col min="4" max="4" width="10.7109375" customWidth="1"/>
    <col min="5" max="5" width="12.42578125" customWidth="1"/>
    <col min="6" max="6" width="17.5703125" customWidth="1"/>
    <col min="7" max="7" width="9.5703125" bestFit="1" customWidth="1"/>
    <col min="8" max="8" width="10.42578125" customWidth="1"/>
    <col min="9" max="10" width="25.28515625" customWidth="1"/>
    <col min="13" max="13" width="26.7109375" customWidth="1"/>
    <col min="14" max="14" width="10.5703125" customWidth="1"/>
  </cols>
  <sheetData>
    <row r="1" spans="1:23" ht="30.75" customHeight="1" thickBot="1" x14ac:dyDescent="0.3">
      <c r="A1" s="9" t="s">
        <v>22</v>
      </c>
      <c r="B1" s="5" t="s">
        <v>0</v>
      </c>
      <c r="C1" s="5" t="s">
        <v>23</v>
      </c>
      <c r="D1" s="5" t="s">
        <v>1</v>
      </c>
      <c r="E1" s="5" t="s">
        <v>24</v>
      </c>
      <c r="F1" s="5" t="s">
        <v>25</v>
      </c>
      <c r="G1" s="9" t="s">
        <v>2</v>
      </c>
      <c r="H1" s="5" t="s">
        <v>93</v>
      </c>
      <c r="I1" s="5" t="s">
        <v>3</v>
      </c>
      <c r="J1" s="22" t="s">
        <v>96</v>
      </c>
      <c r="M1" s="25" t="s">
        <v>97</v>
      </c>
      <c r="O1" s="41" t="s">
        <v>123</v>
      </c>
      <c r="P1" s="42"/>
    </row>
    <row r="2" spans="1:23" ht="15.75" thickBot="1" x14ac:dyDescent="0.3">
      <c r="A2" s="10">
        <v>1001</v>
      </c>
      <c r="B2" s="7" t="s">
        <v>26</v>
      </c>
      <c r="C2" s="7">
        <v>61</v>
      </c>
      <c r="D2" s="7">
        <v>48</v>
      </c>
      <c r="E2" s="7">
        <v>76</v>
      </c>
      <c r="F2" s="8">
        <v>43101</v>
      </c>
      <c r="G2" s="10">
        <f>SUM(C2:E2)</f>
        <v>185</v>
      </c>
      <c r="H2" s="11">
        <f>AVERAGE(C2:E2)</f>
        <v>61.666666666666664</v>
      </c>
      <c r="I2" s="21" t="str">
        <f>IF(H2&gt;80,"A",IF(H2&gt;70,"B",IF(H2&gt;60,"C",IF(H2&gt;50,"D","F"))))</f>
        <v>C</v>
      </c>
      <c r="J2" s="23" t="str">
        <f>IF(AND(Table5[[#This Row],[Math]]&gt;80,Table5[[#This Row],[Science]]&gt;80),"Yes","No")</f>
        <v>No</v>
      </c>
      <c r="M2" s="24">
        <f>COUNTIF($C$2:$C$21,"&gt;50")</f>
        <v>19</v>
      </c>
      <c r="O2" s="43" cm="1">
        <f t="array" ref="O2:W3">_xlfn._xlws.FILTER(Table5[],Table5[Average]&gt;80,"Not Available")</f>
        <v>1012</v>
      </c>
      <c r="P2" s="43" t="str">
        <v>Student 12</v>
      </c>
      <c r="Q2" s="43">
        <v>85</v>
      </c>
      <c r="R2" s="43">
        <v>89</v>
      </c>
      <c r="S2" s="43">
        <v>79</v>
      </c>
      <c r="T2" s="43">
        <v>45081</v>
      </c>
      <c r="U2" s="43">
        <v>253</v>
      </c>
      <c r="V2" s="43">
        <v>84.333333333333329</v>
      </c>
      <c r="W2" s="43" t="str">
        <v>A</v>
      </c>
    </row>
    <row r="3" spans="1:23" ht="15.75" thickBot="1" x14ac:dyDescent="0.3">
      <c r="A3" s="10">
        <v>1002</v>
      </c>
      <c r="B3" s="7" t="s">
        <v>27</v>
      </c>
      <c r="C3" s="7">
        <v>78</v>
      </c>
      <c r="D3" s="7">
        <v>76</v>
      </c>
      <c r="E3" s="7">
        <v>70</v>
      </c>
      <c r="F3" s="8">
        <v>43281</v>
      </c>
      <c r="G3" s="10">
        <f t="shared" ref="G3:G21" si="0">SUM(C3:E3)</f>
        <v>224</v>
      </c>
      <c r="H3" s="11">
        <f t="shared" ref="H3:H21" si="1">AVERAGE(C3:E3)</f>
        <v>74.666666666666671</v>
      </c>
      <c r="I3" s="7" t="str">
        <f t="shared" ref="I3:I21" si="2">IF(H3&gt;80,"A",IF(H3&gt;70,"B",IF(H3&gt;60,"C",IF(H3&gt;50,"D","F"))))</f>
        <v>B</v>
      </c>
      <c r="J3" s="20" t="str">
        <f>IF(AND(Table5[[#This Row],[Math]]&gt;80,Table5[[#This Row],[Science]]&gt;80),"Yes","No")</f>
        <v>No</v>
      </c>
      <c r="O3" s="43">
        <v>1013</v>
      </c>
      <c r="P3" s="43" t="str">
        <v>Student 13</v>
      </c>
      <c r="Q3" s="43">
        <v>98</v>
      </c>
      <c r="R3" s="43">
        <v>90</v>
      </c>
      <c r="S3" s="43">
        <v>97</v>
      </c>
      <c r="T3" s="43">
        <v>45261</v>
      </c>
      <c r="U3" s="43">
        <v>285</v>
      </c>
      <c r="V3" s="43">
        <v>95</v>
      </c>
      <c r="W3" s="43" t="str">
        <v>A</v>
      </c>
    </row>
    <row r="4" spans="1:23" ht="15.75" thickBot="1" x14ac:dyDescent="0.3">
      <c r="A4" s="10">
        <v>1003</v>
      </c>
      <c r="B4" s="7" t="s">
        <v>28</v>
      </c>
      <c r="C4" s="7">
        <v>97</v>
      </c>
      <c r="D4" s="7">
        <v>60</v>
      </c>
      <c r="E4" s="7">
        <v>51</v>
      </c>
      <c r="F4" s="8">
        <v>43461</v>
      </c>
      <c r="G4" s="10">
        <f t="shared" si="0"/>
        <v>208</v>
      </c>
      <c r="H4" s="11">
        <f t="shared" si="1"/>
        <v>69.333333333333329</v>
      </c>
      <c r="I4" s="7" t="str">
        <f t="shared" si="2"/>
        <v>C</v>
      </c>
      <c r="J4" s="18" t="str">
        <f>IF(AND(Table5[[#This Row],[Math]]&gt;80,Table5[[#This Row],[Science]]&gt;80),"Yes","No")</f>
        <v>No</v>
      </c>
    </row>
    <row r="5" spans="1:23" ht="15.75" thickBot="1" x14ac:dyDescent="0.3">
      <c r="A5" s="10">
        <v>1004</v>
      </c>
      <c r="B5" s="7" t="s">
        <v>29</v>
      </c>
      <c r="C5" s="7">
        <v>74</v>
      </c>
      <c r="D5" s="7">
        <v>55</v>
      </c>
      <c r="E5" s="7">
        <v>46</v>
      </c>
      <c r="F5" s="8">
        <v>43641</v>
      </c>
      <c r="G5" s="10">
        <f t="shared" si="0"/>
        <v>175</v>
      </c>
      <c r="H5" s="11">
        <f t="shared" si="1"/>
        <v>58.333333333333336</v>
      </c>
      <c r="I5" s="7" t="str">
        <f t="shared" si="2"/>
        <v>D</v>
      </c>
      <c r="J5" s="19" t="str">
        <f>IF(AND(Table5[[#This Row],[Math]]&gt;80,Table5[[#This Row],[Science]]&gt;80),"Yes","No")</f>
        <v>No</v>
      </c>
      <c r="M5" s="22" t="s">
        <v>71</v>
      </c>
      <c r="N5" s="22" t="s">
        <v>0</v>
      </c>
    </row>
    <row r="6" spans="1:23" ht="15.75" thickBot="1" x14ac:dyDescent="0.3">
      <c r="A6" s="10">
        <v>1005</v>
      </c>
      <c r="B6" s="7" t="s">
        <v>30</v>
      </c>
      <c r="C6" s="7">
        <v>68</v>
      </c>
      <c r="D6" s="7">
        <v>74</v>
      </c>
      <c r="E6" s="7">
        <v>84</v>
      </c>
      <c r="F6" s="8">
        <v>43821</v>
      </c>
      <c r="G6" s="10">
        <f t="shared" si="0"/>
        <v>226</v>
      </c>
      <c r="H6" s="11">
        <f t="shared" si="1"/>
        <v>75.333333333333329</v>
      </c>
      <c r="I6" s="7" t="str">
        <f t="shared" si="2"/>
        <v>B</v>
      </c>
      <c r="J6" s="18" t="str">
        <f>IF(AND(Table5[[#This Row],[Math]]&gt;80,Table5[[#This Row],[Science]]&gt;80),"Yes","No")</f>
        <v>No</v>
      </c>
      <c r="M6" s="31">
        <v>1001</v>
      </c>
      <c r="N6" s="31" t="str">
        <f>VLOOKUP(M6,Table5[],2,0)</f>
        <v>Student 1</v>
      </c>
    </row>
    <row r="7" spans="1:23" ht="15.75" thickBot="1" x14ac:dyDescent="0.3">
      <c r="A7" s="10">
        <v>1006</v>
      </c>
      <c r="B7" s="7" t="s">
        <v>31</v>
      </c>
      <c r="C7" s="7">
        <v>80</v>
      </c>
      <c r="D7" s="7">
        <v>70</v>
      </c>
      <c r="E7" s="7">
        <v>65</v>
      </c>
      <c r="F7" s="8">
        <v>44001</v>
      </c>
      <c r="G7" s="10">
        <f t="shared" si="0"/>
        <v>215</v>
      </c>
      <c r="H7" s="11">
        <f t="shared" si="1"/>
        <v>71.666666666666671</v>
      </c>
      <c r="I7" s="7" t="str">
        <f t="shared" si="2"/>
        <v>B</v>
      </c>
      <c r="J7" s="19" t="str">
        <f>IF(AND(Table5[[#This Row],[Math]]&gt;80,Table5[[#This Row],[Science]]&gt;80),"Yes","No")</f>
        <v>No</v>
      </c>
    </row>
    <row r="8" spans="1:23" ht="15.75" thickBot="1" x14ac:dyDescent="0.3">
      <c r="A8" s="10">
        <v>1007</v>
      </c>
      <c r="B8" s="7" t="s">
        <v>32</v>
      </c>
      <c r="C8" s="7">
        <v>75</v>
      </c>
      <c r="D8" s="7">
        <v>47</v>
      </c>
      <c r="E8" s="7">
        <v>78</v>
      </c>
      <c r="F8" s="8">
        <v>44181</v>
      </c>
      <c r="G8" s="10">
        <f t="shared" si="0"/>
        <v>200</v>
      </c>
      <c r="H8" s="11">
        <f t="shared" si="1"/>
        <v>66.666666666666671</v>
      </c>
      <c r="I8" s="7" t="str">
        <f t="shared" si="2"/>
        <v>C</v>
      </c>
      <c r="J8" s="18" t="str">
        <f>IF(AND(Table5[[#This Row],[Math]]&gt;80,Table5[[#This Row],[Science]]&gt;80),"Yes","No")</f>
        <v>No</v>
      </c>
      <c r="M8" s="22" t="s">
        <v>101</v>
      </c>
    </row>
    <row r="9" spans="1:23" ht="15.75" thickBot="1" x14ac:dyDescent="0.3">
      <c r="A9" s="10">
        <v>1008</v>
      </c>
      <c r="B9" s="7" t="s">
        <v>33</v>
      </c>
      <c r="C9" s="7">
        <v>94</v>
      </c>
      <c r="D9" s="7">
        <v>67</v>
      </c>
      <c r="E9" s="7">
        <v>64</v>
      </c>
      <c r="F9" s="8">
        <v>44361</v>
      </c>
      <c r="G9" s="10">
        <f t="shared" si="0"/>
        <v>225</v>
      </c>
      <c r="H9" s="11">
        <f t="shared" si="1"/>
        <v>75</v>
      </c>
      <c r="I9" s="7" t="str">
        <f t="shared" si="2"/>
        <v>B</v>
      </c>
      <c r="J9" s="19" t="str">
        <f>IF(AND(Table5[[#This Row],[Math]]&gt;80,Table5[[#This Row],[Science]]&gt;80),"Yes","No")</f>
        <v>No</v>
      </c>
      <c r="M9" s="31">
        <f>AVERAGEIF(Table5[Average],"&gt;60",Table5[Average])</f>
        <v>73.625000000000014</v>
      </c>
    </row>
    <row r="10" spans="1:23" ht="15.75" thickBot="1" x14ac:dyDescent="0.3">
      <c r="A10" s="10">
        <v>1009</v>
      </c>
      <c r="B10" s="7" t="s">
        <v>34</v>
      </c>
      <c r="C10" s="7">
        <v>41</v>
      </c>
      <c r="D10" s="7">
        <v>75</v>
      </c>
      <c r="E10" s="7">
        <v>56</v>
      </c>
      <c r="F10" s="8">
        <v>44541</v>
      </c>
      <c r="G10" s="10">
        <f t="shared" si="0"/>
        <v>172</v>
      </c>
      <c r="H10" s="11">
        <f t="shared" si="1"/>
        <v>57.333333333333336</v>
      </c>
      <c r="I10" s="7" t="str">
        <f t="shared" si="2"/>
        <v>D</v>
      </c>
      <c r="J10" s="18" t="str">
        <f>IF(AND(Table5[[#This Row],[Math]]&gt;80,Table5[[#This Row],[Science]]&gt;80),"Yes","No")</f>
        <v>No</v>
      </c>
    </row>
    <row r="11" spans="1:23" ht="15.75" thickBot="1" x14ac:dyDescent="0.3">
      <c r="A11" s="10">
        <v>1010</v>
      </c>
      <c r="B11" s="7" t="s">
        <v>35</v>
      </c>
      <c r="C11" s="7">
        <v>98</v>
      </c>
      <c r="D11" s="7">
        <v>54</v>
      </c>
      <c r="E11" s="7">
        <v>58</v>
      </c>
      <c r="F11" s="8">
        <v>44721</v>
      </c>
      <c r="G11" s="10">
        <f t="shared" si="0"/>
        <v>210</v>
      </c>
      <c r="H11" s="11">
        <f t="shared" si="1"/>
        <v>70</v>
      </c>
      <c r="I11" s="7" t="str">
        <f t="shared" si="2"/>
        <v>C</v>
      </c>
      <c r="J11" s="19" t="str">
        <f>IF(AND(Table5[[#This Row],[Math]]&gt;80,Table5[[#This Row],[Science]]&gt;80),"Yes","No")</f>
        <v>No</v>
      </c>
    </row>
    <row r="12" spans="1:23" ht="15.75" thickBot="1" x14ac:dyDescent="0.3">
      <c r="A12" s="10">
        <v>1011</v>
      </c>
      <c r="B12" s="7" t="s">
        <v>36</v>
      </c>
      <c r="C12" s="7">
        <v>73</v>
      </c>
      <c r="D12" s="7">
        <v>79</v>
      </c>
      <c r="E12" s="7">
        <v>53</v>
      </c>
      <c r="F12" s="8">
        <v>44901</v>
      </c>
      <c r="G12" s="10">
        <f t="shared" si="0"/>
        <v>205</v>
      </c>
      <c r="H12" s="11">
        <f t="shared" si="1"/>
        <v>68.333333333333329</v>
      </c>
      <c r="I12" s="7" t="str">
        <f t="shared" si="2"/>
        <v>C</v>
      </c>
      <c r="J12" s="18" t="str">
        <f>IF(AND(Table5[[#This Row],[Math]]&gt;80,Table5[[#This Row],[Science]]&gt;80),"Yes","No")</f>
        <v>No</v>
      </c>
    </row>
    <row r="13" spans="1:23" ht="15.75" thickBot="1" x14ac:dyDescent="0.3">
      <c r="A13" s="10">
        <v>1012</v>
      </c>
      <c r="B13" s="7" t="s">
        <v>37</v>
      </c>
      <c r="C13" s="7">
        <v>85</v>
      </c>
      <c r="D13" s="7">
        <v>89</v>
      </c>
      <c r="E13" s="7">
        <v>79</v>
      </c>
      <c r="F13" s="8">
        <v>45081</v>
      </c>
      <c r="G13" s="10">
        <f t="shared" si="0"/>
        <v>253</v>
      </c>
      <c r="H13" s="11">
        <f t="shared" si="1"/>
        <v>84.333333333333329</v>
      </c>
      <c r="I13" s="7" t="str">
        <f t="shared" si="2"/>
        <v>A</v>
      </c>
      <c r="J13" s="19" t="str">
        <f>IF(AND(Table5[[#This Row],[Math]]&gt;80,Table5[[#This Row],[Science]]&gt;80),"Yes","No")</f>
        <v>Yes</v>
      </c>
    </row>
    <row r="14" spans="1:23" ht="15.75" thickBot="1" x14ac:dyDescent="0.3">
      <c r="A14" s="10">
        <v>1013</v>
      </c>
      <c r="B14" s="7" t="s">
        <v>38</v>
      </c>
      <c r="C14" s="7">
        <v>98</v>
      </c>
      <c r="D14" s="7">
        <v>90</v>
      </c>
      <c r="E14" s="7">
        <v>97</v>
      </c>
      <c r="F14" s="8">
        <v>45261</v>
      </c>
      <c r="G14" s="10">
        <f t="shared" si="0"/>
        <v>285</v>
      </c>
      <c r="H14" s="11">
        <f t="shared" si="1"/>
        <v>95</v>
      </c>
      <c r="I14" s="7" t="str">
        <f t="shared" si="2"/>
        <v>A</v>
      </c>
      <c r="J14" s="18" t="str">
        <f>IF(AND(Table5[[#This Row],[Math]]&gt;80,Table5[[#This Row],[Science]]&gt;80),"Yes","No")</f>
        <v>Yes</v>
      </c>
    </row>
    <row r="15" spans="1:23" ht="15.75" thickBot="1" x14ac:dyDescent="0.3">
      <c r="A15" s="10">
        <v>1014</v>
      </c>
      <c r="B15" s="7" t="s">
        <v>39</v>
      </c>
      <c r="C15" s="7">
        <v>93</v>
      </c>
      <c r="D15" s="7">
        <v>40</v>
      </c>
      <c r="E15" s="7">
        <v>44</v>
      </c>
      <c r="F15" s="8">
        <v>45441</v>
      </c>
      <c r="G15" s="10">
        <f t="shared" si="0"/>
        <v>177</v>
      </c>
      <c r="H15" s="11">
        <f t="shared" si="1"/>
        <v>59</v>
      </c>
      <c r="I15" s="7" t="str">
        <f t="shared" si="2"/>
        <v>D</v>
      </c>
      <c r="J15" s="19" t="str">
        <f>IF(AND(Table5[[#This Row],[Math]]&gt;80,Table5[[#This Row],[Science]]&gt;80),"Yes","No")</f>
        <v>No</v>
      </c>
    </row>
    <row r="16" spans="1:23" ht="15.75" thickBot="1" x14ac:dyDescent="0.3">
      <c r="A16" s="10">
        <v>1015</v>
      </c>
      <c r="B16" s="7" t="s">
        <v>40</v>
      </c>
      <c r="C16" s="7">
        <v>70</v>
      </c>
      <c r="D16" s="7">
        <v>51</v>
      </c>
      <c r="E16" s="7">
        <v>75</v>
      </c>
      <c r="F16" s="8">
        <v>45621</v>
      </c>
      <c r="G16" s="10">
        <f t="shared" si="0"/>
        <v>196</v>
      </c>
      <c r="H16" s="11">
        <f t="shared" si="1"/>
        <v>65.333333333333329</v>
      </c>
      <c r="I16" s="7" t="str">
        <f t="shared" si="2"/>
        <v>C</v>
      </c>
      <c r="J16" s="18" t="str">
        <f>IF(AND(Table5[[#This Row],[Math]]&gt;80,Table5[[#This Row],[Science]]&gt;80),"Yes","No")</f>
        <v>No</v>
      </c>
    </row>
    <row r="17" spans="1:10" ht="15.75" thickBot="1" x14ac:dyDescent="0.3">
      <c r="A17" s="10">
        <v>1016</v>
      </c>
      <c r="B17" s="7" t="s">
        <v>41</v>
      </c>
      <c r="C17" s="7">
        <v>98</v>
      </c>
      <c r="D17" s="7">
        <v>77</v>
      </c>
      <c r="E17" s="7">
        <v>60</v>
      </c>
      <c r="F17" s="8">
        <v>45801</v>
      </c>
      <c r="G17" s="10">
        <f t="shared" si="0"/>
        <v>235</v>
      </c>
      <c r="H17" s="11">
        <f t="shared" si="1"/>
        <v>78.333333333333329</v>
      </c>
      <c r="I17" s="7" t="str">
        <f t="shared" si="2"/>
        <v>B</v>
      </c>
      <c r="J17" s="19" t="str">
        <f>IF(AND(Table5[[#This Row],[Math]]&gt;80,Table5[[#This Row],[Science]]&gt;80),"Yes","No")</f>
        <v>No</v>
      </c>
    </row>
    <row r="18" spans="1:10" ht="15.75" thickBot="1" x14ac:dyDescent="0.3">
      <c r="A18" s="10">
        <v>1017</v>
      </c>
      <c r="B18" s="7" t="s">
        <v>42</v>
      </c>
      <c r="C18" s="7">
        <v>66</v>
      </c>
      <c r="D18" s="7">
        <v>59</v>
      </c>
      <c r="E18" s="7">
        <v>40</v>
      </c>
      <c r="F18" s="8">
        <v>45981</v>
      </c>
      <c r="G18" s="10">
        <f t="shared" si="0"/>
        <v>165</v>
      </c>
      <c r="H18" s="11">
        <f t="shared" si="1"/>
        <v>55</v>
      </c>
      <c r="I18" s="7" t="str">
        <f t="shared" si="2"/>
        <v>D</v>
      </c>
      <c r="J18" s="18" t="str">
        <f>IF(AND(Table5[[#This Row],[Math]]&gt;80,Table5[[#This Row],[Science]]&gt;80),"Yes","No")</f>
        <v>No</v>
      </c>
    </row>
    <row r="19" spans="1:10" ht="15.75" thickBot="1" x14ac:dyDescent="0.3">
      <c r="A19" s="10">
        <v>1018</v>
      </c>
      <c r="B19" s="7" t="s">
        <v>43</v>
      </c>
      <c r="C19" s="7">
        <v>82</v>
      </c>
      <c r="D19" s="7">
        <v>48</v>
      </c>
      <c r="E19" s="7">
        <v>79</v>
      </c>
      <c r="F19" s="8">
        <v>46161</v>
      </c>
      <c r="G19" s="10">
        <f t="shared" si="0"/>
        <v>209</v>
      </c>
      <c r="H19" s="11">
        <f t="shared" si="1"/>
        <v>69.666666666666671</v>
      </c>
      <c r="I19" s="7" t="str">
        <f t="shared" si="2"/>
        <v>C</v>
      </c>
      <c r="J19" s="19" t="str">
        <f>IF(AND(Table5[[#This Row],[Math]]&gt;80,Table5[[#This Row],[Science]]&gt;80),"Yes","No")</f>
        <v>No</v>
      </c>
    </row>
    <row r="20" spans="1:10" ht="15.75" thickBot="1" x14ac:dyDescent="0.3">
      <c r="A20" s="10">
        <v>1019</v>
      </c>
      <c r="B20" s="7" t="s">
        <v>44</v>
      </c>
      <c r="C20" s="7">
        <v>90</v>
      </c>
      <c r="D20" s="7">
        <v>78</v>
      </c>
      <c r="E20" s="7">
        <v>60</v>
      </c>
      <c r="F20" s="8">
        <v>46341</v>
      </c>
      <c r="G20" s="10">
        <f t="shared" si="0"/>
        <v>228</v>
      </c>
      <c r="H20" s="11">
        <f t="shared" si="1"/>
        <v>76</v>
      </c>
      <c r="I20" s="7" t="str">
        <f t="shared" si="2"/>
        <v>B</v>
      </c>
      <c r="J20" s="18" t="str">
        <f>IF(AND(Table5[[#This Row],[Math]]&gt;80,Table5[[#This Row],[Science]]&gt;80),"Yes","No")</f>
        <v>No</v>
      </c>
    </row>
    <row r="21" spans="1:10" ht="15.75" thickBot="1" x14ac:dyDescent="0.3">
      <c r="A21" s="10">
        <v>1020</v>
      </c>
      <c r="B21" s="7" t="s">
        <v>45</v>
      </c>
      <c r="C21" s="7">
        <v>83</v>
      </c>
      <c r="D21" s="7">
        <v>92</v>
      </c>
      <c r="E21" s="7">
        <v>55</v>
      </c>
      <c r="F21" s="8">
        <v>46521</v>
      </c>
      <c r="G21" s="10">
        <f t="shared" si="0"/>
        <v>230</v>
      </c>
      <c r="H21" s="11">
        <f t="shared" si="1"/>
        <v>76.666666666666671</v>
      </c>
      <c r="I21" s="7" t="str">
        <f t="shared" si="2"/>
        <v>B</v>
      </c>
      <c r="J21" s="19" t="str">
        <f>IF(AND(Table5[[#This Row],[Math]]&gt;80,Table5[[#This Row],[Science]]&gt;80),"Yes","No")</f>
        <v>Yes</v>
      </c>
    </row>
  </sheetData>
  <mergeCells count="1">
    <mergeCell ref="O1:P1"/>
  </mergeCells>
  <dataValidations count="1">
    <dataValidation type="list" allowBlank="1" showInputMessage="1" showErrorMessage="1" sqref="M6" xr:uid="{7FC8445A-9F4F-4A8D-9E96-B742BDF6915C}">
      <formula1>$A$2:$A$21</formula1>
    </dataValidation>
  </dataValidations>
  <pageMargins left="0.7" right="0.7" top="0.75" bottom="0.75" header="0.3" footer="0.3"/>
  <ignoredErrors>
    <ignoredError sqref="G2:H2 G3:G21 H3:H21" formulaRange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FE88-2591-4C6E-924C-C9C7D99E1257}">
  <dimension ref="A1:P28"/>
  <sheetViews>
    <sheetView topLeftCell="B1" zoomScale="85" zoomScaleNormal="85" workbookViewId="0">
      <selection activeCell="A24" sqref="A24"/>
    </sheetView>
  </sheetViews>
  <sheetFormatPr defaultRowHeight="15" x14ac:dyDescent="0.25"/>
  <cols>
    <col min="1" max="1" width="13.140625" customWidth="1"/>
    <col min="2" max="2" width="9.42578125" customWidth="1"/>
    <col min="3" max="3" width="15.85546875" customWidth="1"/>
    <col min="4" max="4" width="10.85546875" customWidth="1"/>
    <col min="5" max="5" width="16.85546875" customWidth="1"/>
    <col min="6" max="6" width="20.28515625" style="15" customWidth="1"/>
    <col min="7" max="8" width="20.28515625" style="16" customWidth="1"/>
    <col min="9" max="10" width="23.140625" customWidth="1"/>
    <col min="11" max="11" width="23.140625" style="32" customWidth="1"/>
    <col min="12" max="12" width="23.140625" style="13" customWidth="1"/>
    <col min="15" max="15" width="10.5703125" bestFit="1" customWidth="1"/>
    <col min="16" max="16" width="11.42578125" bestFit="1" customWidth="1"/>
  </cols>
  <sheetData>
    <row r="1" spans="2:16" ht="15.75" thickBot="1" x14ac:dyDescent="0.3">
      <c r="B1" s="4" t="s">
        <v>46</v>
      </c>
      <c r="C1" s="5" t="s">
        <v>47</v>
      </c>
      <c r="D1" s="5" t="s">
        <v>4</v>
      </c>
      <c r="E1" s="5" t="s">
        <v>48</v>
      </c>
      <c r="F1" s="5" t="s">
        <v>49</v>
      </c>
      <c r="G1" s="5" t="s">
        <v>94</v>
      </c>
      <c r="H1" s="5" t="s">
        <v>95</v>
      </c>
      <c r="I1" s="5" t="s">
        <v>50</v>
      </c>
      <c r="J1" s="4" t="s">
        <v>102</v>
      </c>
      <c r="K1" s="4" t="s">
        <v>103</v>
      </c>
      <c r="L1" s="4" t="s">
        <v>104</v>
      </c>
      <c r="N1" s="27" t="s">
        <v>71</v>
      </c>
      <c r="O1" s="5" t="s">
        <v>14</v>
      </c>
    </row>
    <row r="2" spans="2:16" ht="15.75" thickBot="1" x14ac:dyDescent="0.3">
      <c r="B2" s="6">
        <v>2001</v>
      </c>
      <c r="C2" s="7" t="s">
        <v>9</v>
      </c>
      <c r="D2" s="7" t="s">
        <v>10</v>
      </c>
      <c r="E2" s="7" t="s">
        <v>51</v>
      </c>
      <c r="F2" s="14">
        <v>7048</v>
      </c>
      <c r="G2" s="17">
        <f>IF(F2&gt;30000,10%,IF(F2&gt;15000,5%,3%))</f>
        <v>0.03</v>
      </c>
      <c r="H2" s="12">
        <f>F2-(F2*G2)</f>
        <v>6836.56</v>
      </c>
      <c r="I2" s="8">
        <v>44927</v>
      </c>
      <c r="J2" s="33">
        <f>ROUND(H2,1)</f>
        <v>6836.6</v>
      </c>
      <c r="K2" s="34">
        <f>CEILING(H2,1)</f>
        <v>6837</v>
      </c>
      <c r="L2" s="35">
        <f>FLOOR(H2,1)</f>
        <v>6836</v>
      </c>
      <c r="N2" s="28">
        <v>2003</v>
      </c>
      <c r="O2" s="30">
        <f>VLOOKUP($N$2,$B$2:$I$21,7,0)</f>
        <v>22488.400000000001</v>
      </c>
    </row>
    <row r="3" spans="2:16" ht="15.75" thickBot="1" x14ac:dyDescent="0.3">
      <c r="B3" s="6">
        <v>2002</v>
      </c>
      <c r="C3" s="7" t="s">
        <v>13</v>
      </c>
      <c r="D3" s="7" t="s">
        <v>7</v>
      </c>
      <c r="E3" s="7" t="s">
        <v>52</v>
      </c>
      <c r="F3" s="14">
        <v>17428</v>
      </c>
      <c r="G3" s="17">
        <f t="shared" ref="G3:G21" si="0">IF(F3&gt;30000,10%,IF(F3&gt;15000,5%,3%))</f>
        <v>0.05</v>
      </c>
      <c r="H3" s="12">
        <f t="shared" ref="H3:H21" si="1">F3-(F3*G3)</f>
        <v>16556.599999999999</v>
      </c>
      <c r="I3" s="8">
        <v>44942</v>
      </c>
      <c r="J3" s="33">
        <f t="shared" ref="J3:J21" si="2">ROUND(H3,1)</f>
        <v>16556.599999999999</v>
      </c>
      <c r="K3" s="34">
        <f t="shared" ref="K3:K21" si="3">CEILING(H3,1)</f>
        <v>16557</v>
      </c>
      <c r="L3" s="35">
        <f t="shared" ref="L3:L21" si="4">FLOOR(H3,1)</f>
        <v>16556</v>
      </c>
    </row>
    <row r="4" spans="2:16" ht="15.75" thickBot="1" x14ac:dyDescent="0.3">
      <c r="B4" s="6">
        <v>2003</v>
      </c>
      <c r="C4" s="7" t="s">
        <v>12</v>
      </c>
      <c r="D4" s="7" t="s">
        <v>10</v>
      </c>
      <c r="E4" s="7" t="s">
        <v>53</v>
      </c>
      <c r="F4" s="14">
        <v>23672</v>
      </c>
      <c r="G4" s="17">
        <f t="shared" si="0"/>
        <v>0.05</v>
      </c>
      <c r="H4" s="12">
        <f t="shared" si="1"/>
        <v>22488.400000000001</v>
      </c>
      <c r="I4" s="8">
        <v>44957</v>
      </c>
      <c r="J4" s="33">
        <f t="shared" si="2"/>
        <v>22488.400000000001</v>
      </c>
      <c r="K4" s="34">
        <f t="shared" si="3"/>
        <v>22489</v>
      </c>
      <c r="L4" s="35">
        <f t="shared" si="4"/>
        <v>22488</v>
      </c>
    </row>
    <row r="5" spans="2:16" ht="15.75" thickBot="1" x14ac:dyDescent="0.3">
      <c r="B5" s="6">
        <v>2004</v>
      </c>
      <c r="C5" s="7" t="s">
        <v>13</v>
      </c>
      <c r="D5" s="7" t="s">
        <v>8</v>
      </c>
      <c r="E5" s="7" t="s">
        <v>54</v>
      </c>
      <c r="F5" s="14">
        <v>5264</v>
      </c>
      <c r="G5" s="17">
        <f t="shared" si="0"/>
        <v>0.03</v>
      </c>
      <c r="H5" s="12">
        <f t="shared" si="1"/>
        <v>5106.08</v>
      </c>
      <c r="I5" s="8">
        <v>44972</v>
      </c>
      <c r="J5" s="33">
        <f t="shared" si="2"/>
        <v>5106.1000000000004</v>
      </c>
      <c r="K5" s="34">
        <f t="shared" si="3"/>
        <v>5107</v>
      </c>
      <c r="L5" s="35">
        <f t="shared" si="4"/>
        <v>5106</v>
      </c>
      <c r="N5" s="27" t="s">
        <v>4</v>
      </c>
      <c r="O5" s="5" t="s">
        <v>98</v>
      </c>
      <c r="P5" s="5" t="s">
        <v>2</v>
      </c>
    </row>
    <row r="6" spans="2:16" ht="15.75" thickBot="1" x14ac:dyDescent="0.3">
      <c r="B6" s="6">
        <v>2005</v>
      </c>
      <c r="C6" s="7" t="s">
        <v>9</v>
      </c>
      <c r="D6" s="7" t="s">
        <v>6</v>
      </c>
      <c r="E6" s="7" t="s">
        <v>55</v>
      </c>
      <c r="F6" s="14">
        <v>43388</v>
      </c>
      <c r="G6" s="17">
        <f t="shared" si="0"/>
        <v>0.1</v>
      </c>
      <c r="H6" s="12">
        <f t="shared" si="1"/>
        <v>39049.199999999997</v>
      </c>
      <c r="I6" s="8">
        <v>44987</v>
      </c>
      <c r="J6" s="33">
        <f t="shared" si="2"/>
        <v>39049.199999999997</v>
      </c>
      <c r="K6" s="34">
        <f t="shared" si="3"/>
        <v>39050</v>
      </c>
      <c r="L6" s="35">
        <f t="shared" si="4"/>
        <v>39049</v>
      </c>
      <c r="N6" s="28" t="s">
        <v>10</v>
      </c>
      <c r="O6" s="28" t="s">
        <v>9</v>
      </c>
      <c r="P6" s="29">
        <f>SUMIFS(H2:H21,D2:D21,N6,C2:C21,O6)</f>
        <v>38503.06</v>
      </c>
    </row>
    <row r="7" spans="2:16" ht="15.75" thickBot="1" x14ac:dyDescent="0.3">
      <c r="B7" s="6">
        <v>2006</v>
      </c>
      <c r="C7" s="7" t="s">
        <v>12</v>
      </c>
      <c r="D7" s="7" t="s">
        <v>6</v>
      </c>
      <c r="E7" s="7" t="s">
        <v>56</v>
      </c>
      <c r="F7" s="14">
        <v>19757</v>
      </c>
      <c r="G7" s="17">
        <f t="shared" si="0"/>
        <v>0.05</v>
      </c>
      <c r="H7" s="12">
        <f t="shared" si="1"/>
        <v>18769.150000000001</v>
      </c>
      <c r="I7" s="8">
        <v>45002</v>
      </c>
      <c r="J7" s="33">
        <f t="shared" si="2"/>
        <v>18769.2</v>
      </c>
      <c r="K7" s="34">
        <f t="shared" si="3"/>
        <v>18770</v>
      </c>
      <c r="L7" s="35">
        <f t="shared" si="4"/>
        <v>18769</v>
      </c>
    </row>
    <row r="8" spans="2:16" ht="15.75" thickBot="1" x14ac:dyDescent="0.3">
      <c r="B8" s="6">
        <v>2007</v>
      </c>
      <c r="C8" s="7" t="s">
        <v>12</v>
      </c>
      <c r="D8" s="7" t="s">
        <v>8</v>
      </c>
      <c r="E8" s="7" t="s">
        <v>57</v>
      </c>
      <c r="F8" s="14">
        <v>32058</v>
      </c>
      <c r="G8" s="17">
        <f t="shared" si="0"/>
        <v>0.1</v>
      </c>
      <c r="H8" s="12">
        <f t="shared" si="1"/>
        <v>28852.2</v>
      </c>
      <c r="I8" s="8">
        <v>45017</v>
      </c>
      <c r="J8" s="33">
        <f t="shared" si="2"/>
        <v>28852.2</v>
      </c>
      <c r="K8" s="34">
        <f t="shared" si="3"/>
        <v>28853</v>
      </c>
      <c r="L8" s="35">
        <f t="shared" si="4"/>
        <v>28852</v>
      </c>
      <c r="N8" s="27" t="s">
        <v>0</v>
      </c>
      <c r="O8" s="5" t="s">
        <v>99</v>
      </c>
    </row>
    <row r="9" spans="2:16" ht="15.75" thickBot="1" x14ac:dyDescent="0.3">
      <c r="B9" s="6">
        <v>2008</v>
      </c>
      <c r="C9" s="7" t="s">
        <v>9</v>
      </c>
      <c r="D9" s="7" t="s">
        <v>8</v>
      </c>
      <c r="E9" s="7" t="s">
        <v>58</v>
      </c>
      <c r="F9" s="14">
        <v>46429</v>
      </c>
      <c r="G9" s="17">
        <f t="shared" si="0"/>
        <v>0.1</v>
      </c>
      <c r="H9" s="12">
        <f t="shared" si="1"/>
        <v>41786.1</v>
      </c>
      <c r="I9" s="8">
        <v>45032</v>
      </c>
      <c r="J9" s="33">
        <f t="shared" si="2"/>
        <v>41786.1</v>
      </c>
      <c r="K9" s="34">
        <f t="shared" si="3"/>
        <v>41787</v>
      </c>
      <c r="L9" s="35">
        <f t="shared" si="4"/>
        <v>41786</v>
      </c>
      <c r="N9" s="28" t="s">
        <v>51</v>
      </c>
      <c r="O9" s="29">
        <f>INDEX(B2:I21,MATCH(N9,E2:E21,0),7)</f>
        <v>6836.56</v>
      </c>
    </row>
    <row r="10" spans="2:16" ht="15.75" thickBot="1" x14ac:dyDescent="0.3">
      <c r="B10" s="6">
        <v>2009</v>
      </c>
      <c r="C10" s="7" t="s">
        <v>13</v>
      </c>
      <c r="D10" s="7" t="s">
        <v>8</v>
      </c>
      <c r="E10" s="7" t="s">
        <v>59</v>
      </c>
      <c r="F10" s="14">
        <v>19746</v>
      </c>
      <c r="G10" s="17">
        <f t="shared" si="0"/>
        <v>0.05</v>
      </c>
      <c r="H10" s="12">
        <f t="shared" si="1"/>
        <v>18758.7</v>
      </c>
      <c r="I10" s="8">
        <v>45047</v>
      </c>
      <c r="J10" s="33">
        <f t="shared" si="2"/>
        <v>18758.7</v>
      </c>
      <c r="K10" s="34">
        <f t="shared" si="3"/>
        <v>18759</v>
      </c>
      <c r="L10" s="35">
        <f t="shared" si="4"/>
        <v>18758</v>
      </c>
    </row>
    <row r="11" spans="2:16" ht="15.75" thickBot="1" x14ac:dyDescent="0.3">
      <c r="B11" s="6">
        <v>2010</v>
      </c>
      <c r="C11" s="7" t="s">
        <v>9</v>
      </c>
      <c r="D11" s="7" t="s">
        <v>10</v>
      </c>
      <c r="E11" s="7" t="s">
        <v>60</v>
      </c>
      <c r="F11" s="14">
        <v>35185</v>
      </c>
      <c r="G11" s="17">
        <f t="shared" si="0"/>
        <v>0.1</v>
      </c>
      <c r="H11" s="12">
        <f t="shared" si="1"/>
        <v>31666.5</v>
      </c>
      <c r="I11" s="8">
        <v>45062</v>
      </c>
      <c r="J11" s="33">
        <f t="shared" si="2"/>
        <v>31666.5</v>
      </c>
      <c r="K11" s="34">
        <f t="shared" si="3"/>
        <v>31667</v>
      </c>
      <c r="L11" s="35">
        <f t="shared" si="4"/>
        <v>31666</v>
      </c>
    </row>
    <row r="12" spans="2:16" ht="15.75" thickBot="1" x14ac:dyDescent="0.3">
      <c r="B12" s="6">
        <v>2011</v>
      </c>
      <c r="C12" s="7" t="s">
        <v>9</v>
      </c>
      <c r="D12" s="7" t="s">
        <v>8</v>
      </c>
      <c r="E12" s="7" t="s">
        <v>61</v>
      </c>
      <c r="F12" s="14">
        <v>33920</v>
      </c>
      <c r="G12" s="17">
        <f t="shared" si="0"/>
        <v>0.1</v>
      </c>
      <c r="H12" s="12">
        <f t="shared" si="1"/>
        <v>30528</v>
      </c>
      <c r="I12" s="8">
        <v>45077</v>
      </c>
      <c r="J12" s="33">
        <f t="shared" si="2"/>
        <v>30528</v>
      </c>
      <c r="K12" s="34">
        <f t="shared" si="3"/>
        <v>30528</v>
      </c>
      <c r="L12" s="35">
        <f t="shared" si="4"/>
        <v>30528</v>
      </c>
      <c r="N12" s="27" t="s">
        <v>47</v>
      </c>
      <c r="O12" s="5" t="s">
        <v>100</v>
      </c>
    </row>
    <row r="13" spans="2:16" ht="15.75" thickBot="1" x14ac:dyDescent="0.3">
      <c r="B13" s="6">
        <v>2012</v>
      </c>
      <c r="C13" s="7" t="s">
        <v>11</v>
      </c>
      <c r="D13" s="7" t="s">
        <v>6</v>
      </c>
      <c r="E13" s="7" t="s">
        <v>62</v>
      </c>
      <c r="F13" s="14">
        <v>35611</v>
      </c>
      <c r="G13" s="17">
        <f t="shared" si="0"/>
        <v>0.1</v>
      </c>
      <c r="H13" s="12">
        <f t="shared" si="1"/>
        <v>32049.9</v>
      </c>
      <c r="I13" s="8">
        <v>45092</v>
      </c>
      <c r="J13" s="33">
        <f t="shared" si="2"/>
        <v>32049.9</v>
      </c>
      <c r="K13" s="34">
        <f t="shared" si="3"/>
        <v>32050</v>
      </c>
      <c r="L13" s="35">
        <f t="shared" si="4"/>
        <v>32049</v>
      </c>
      <c r="N13" s="28" t="s">
        <v>12</v>
      </c>
      <c r="O13" s="37">
        <f>_xlfn.XMATCH(N13,C2:C21,0,1)</f>
        <v>3</v>
      </c>
    </row>
    <row r="14" spans="2:16" ht="15.75" thickBot="1" x14ac:dyDescent="0.3">
      <c r="B14" s="6">
        <v>2013</v>
      </c>
      <c r="C14" s="7" t="s">
        <v>5</v>
      </c>
      <c r="D14" s="7" t="s">
        <v>8</v>
      </c>
      <c r="E14" s="7" t="s">
        <v>63</v>
      </c>
      <c r="F14" s="14">
        <v>15560</v>
      </c>
      <c r="G14" s="17">
        <f t="shared" si="0"/>
        <v>0.05</v>
      </c>
      <c r="H14" s="12">
        <f t="shared" si="1"/>
        <v>14782</v>
      </c>
      <c r="I14" s="8">
        <v>45107</v>
      </c>
      <c r="J14" s="33">
        <f t="shared" si="2"/>
        <v>14782</v>
      </c>
      <c r="K14" s="34">
        <f t="shared" si="3"/>
        <v>14782</v>
      </c>
      <c r="L14" s="35">
        <f t="shared" si="4"/>
        <v>14782</v>
      </c>
    </row>
    <row r="15" spans="2:16" ht="15.75" thickBot="1" x14ac:dyDescent="0.3">
      <c r="B15" s="6">
        <v>2014</v>
      </c>
      <c r="C15" s="7" t="s">
        <v>5</v>
      </c>
      <c r="D15" s="7" t="s">
        <v>10</v>
      </c>
      <c r="E15" s="7" t="s">
        <v>64</v>
      </c>
      <c r="F15" s="14">
        <v>7283</v>
      </c>
      <c r="G15" s="17">
        <f t="shared" si="0"/>
        <v>0.03</v>
      </c>
      <c r="H15" s="12">
        <f t="shared" si="1"/>
        <v>7064.51</v>
      </c>
      <c r="I15" s="8">
        <v>45122</v>
      </c>
      <c r="J15" s="33">
        <f t="shared" si="2"/>
        <v>7064.5</v>
      </c>
      <c r="K15" s="34">
        <f t="shared" si="3"/>
        <v>7065</v>
      </c>
      <c r="L15" s="35">
        <f t="shared" si="4"/>
        <v>7064</v>
      </c>
    </row>
    <row r="16" spans="2:16" ht="15.75" thickBot="1" x14ac:dyDescent="0.3">
      <c r="B16" s="6">
        <v>2015</v>
      </c>
      <c r="C16" s="7" t="s">
        <v>5</v>
      </c>
      <c r="D16" s="7" t="s">
        <v>8</v>
      </c>
      <c r="E16" s="7" t="s">
        <v>65</v>
      </c>
      <c r="F16" s="14">
        <v>15678</v>
      </c>
      <c r="G16" s="17">
        <f t="shared" si="0"/>
        <v>0.05</v>
      </c>
      <c r="H16" s="12">
        <f t="shared" si="1"/>
        <v>14894.1</v>
      </c>
      <c r="I16" s="8">
        <v>45137</v>
      </c>
      <c r="J16" s="33">
        <f t="shared" si="2"/>
        <v>14894.1</v>
      </c>
      <c r="K16" s="34">
        <f t="shared" si="3"/>
        <v>14895</v>
      </c>
      <c r="L16" s="35">
        <f t="shared" si="4"/>
        <v>14894</v>
      </c>
    </row>
    <row r="17" spans="1:12" ht="15.75" thickBot="1" x14ac:dyDescent="0.3">
      <c r="B17" s="6">
        <v>2016</v>
      </c>
      <c r="C17" s="7" t="s">
        <v>12</v>
      </c>
      <c r="D17" s="7" t="s">
        <v>8</v>
      </c>
      <c r="E17" s="7" t="s">
        <v>66</v>
      </c>
      <c r="F17" s="14">
        <v>5277</v>
      </c>
      <c r="G17" s="17">
        <f t="shared" si="0"/>
        <v>0.03</v>
      </c>
      <c r="H17" s="12">
        <f t="shared" si="1"/>
        <v>5118.6899999999996</v>
      </c>
      <c r="I17" s="8">
        <v>45152</v>
      </c>
      <c r="J17" s="33">
        <f t="shared" si="2"/>
        <v>5118.7</v>
      </c>
      <c r="K17" s="34">
        <f t="shared" si="3"/>
        <v>5119</v>
      </c>
      <c r="L17" s="35">
        <f t="shared" si="4"/>
        <v>5118</v>
      </c>
    </row>
    <row r="18" spans="1:12" ht="15.75" thickBot="1" x14ac:dyDescent="0.3">
      <c r="B18" s="6">
        <v>2017</v>
      </c>
      <c r="C18" s="7" t="s">
        <v>11</v>
      </c>
      <c r="D18" s="7" t="s">
        <v>6</v>
      </c>
      <c r="E18" s="7" t="s">
        <v>67</v>
      </c>
      <c r="F18" s="14">
        <v>41871</v>
      </c>
      <c r="G18" s="17">
        <f t="shared" si="0"/>
        <v>0.1</v>
      </c>
      <c r="H18" s="12">
        <f t="shared" si="1"/>
        <v>37683.9</v>
      </c>
      <c r="I18" s="8">
        <v>45167</v>
      </c>
      <c r="J18" s="33">
        <f t="shared" si="2"/>
        <v>37683.9</v>
      </c>
      <c r="K18" s="34">
        <f t="shared" si="3"/>
        <v>37684</v>
      </c>
      <c r="L18" s="35">
        <f t="shared" si="4"/>
        <v>37683</v>
      </c>
    </row>
    <row r="19" spans="1:12" ht="15.75" thickBot="1" x14ac:dyDescent="0.3">
      <c r="B19" s="6">
        <v>2018</v>
      </c>
      <c r="C19" s="7" t="s">
        <v>11</v>
      </c>
      <c r="D19" s="7" t="s">
        <v>7</v>
      </c>
      <c r="E19" s="7" t="s">
        <v>68</v>
      </c>
      <c r="F19" s="14">
        <v>38161</v>
      </c>
      <c r="G19" s="17">
        <f t="shared" si="0"/>
        <v>0.1</v>
      </c>
      <c r="H19" s="12">
        <f t="shared" si="1"/>
        <v>34344.9</v>
      </c>
      <c r="I19" s="8">
        <v>45182</v>
      </c>
      <c r="J19" s="33">
        <f t="shared" si="2"/>
        <v>34344.9</v>
      </c>
      <c r="K19" s="34">
        <f t="shared" si="3"/>
        <v>34345</v>
      </c>
      <c r="L19" s="35">
        <f t="shared" si="4"/>
        <v>34344</v>
      </c>
    </row>
    <row r="20" spans="1:12" ht="15.75" thickBot="1" x14ac:dyDescent="0.3">
      <c r="B20" s="6">
        <v>2019</v>
      </c>
      <c r="C20" s="7" t="s">
        <v>12</v>
      </c>
      <c r="D20" s="7" t="s">
        <v>7</v>
      </c>
      <c r="E20" s="7" t="s">
        <v>69</v>
      </c>
      <c r="F20" s="14">
        <v>30436</v>
      </c>
      <c r="G20" s="17">
        <f t="shared" si="0"/>
        <v>0.1</v>
      </c>
      <c r="H20" s="12">
        <f t="shared" si="1"/>
        <v>27392.400000000001</v>
      </c>
      <c r="I20" s="8">
        <v>45197</v>
      </c>
      <c r="J20" s="33">
        <f t="shared" si="2"/>
        <v>27392.400000000001</v>
      </c>
      <c r="K20" s="34">
        <f t="shared" si="3"/>
        <v>27393</v>
      </c>
      <c r="L20" s="35">
        <f t="shared" si="4"/>
        <v>27392</v>
      </c>
    </row>
    <row r="21" spans="1:12" ht="15.75" thickBot="1" x14ac:dyDescent="0.3">
      <c r="B21" s="6">
        <v>2020</v>
      </c>
      <c r="C21" s="7" t="s">
        <v>13</v>
      </c>
      <c r="D21" s="7" t="s">
        <v>7</v>
      </c>
      <c r="E21" s="7" t="s">
        <v>70</v>
      </c>
      <c r="F21" s="14">
        <v>33953</v>
      </c>
      <c r="G21" s="17">
        <f t="shared" si="0"/>
        <v>0.1</v>
      </c>
      <c r="H21" s="12">
        <f t="shared" si="1"/>
        <v>30557.7</v>
      </c>
      <c r="I21" s="8">
        <v>45212</v>
      </c>
      <c r="J21" s="33">
        <f t="shared" si="2"/>
        <v>30557.7</v>
      </c>
      <c r="K21" s="34">
        <f t="shared" si="3"/>
        <v>30558</v>
      </c>
      <c r="L21" s="35">
        <f t="shared" si="4"/>
        <v>30557</v>
      </c>
    </row>
    <row r="22" spans="1:12" ht="15.75" thickBot="1" x14ac:dyDescent="0.3"/>
    <row r="23" spans="1:12" ht="30.75" thickBot="1" x14ac:dyDescent="0.3">
      <c r="A23" s="4" t="s">
        <v>118</v>
      </c>
      <c r="B23" s="4" t="s">
        <v>46</v>
      </c>
      <c r="C23" s="5" t="s">
        <v>47</v>
      </c>
      <c r="D23" s="5" t="s">
        <v>4</v>
      </c>
      <c r="E23" s="5" t="s">
        <v>48</v>
      </c>
      <c r="F23" s="5" t="s">
        <v>49</v>
      </c>
      <c r="G23" s="5" t="s">
        <v>94</v>
      </c>
      <c r="H23" s="5" t="s">
        <v>95</v>
      </c>
      <c r="I23" s="5" t="s">
        <v>50</v>
      </c>
      <c r="K23"/>
      <c r="L23"/>
    </row>
    <row r="24" spans="1:12" x14ac:dyDescent="0.25">
      <c r="A24">
        <v>5</v>
      </c>
      <c r="B24" cm="1">
        <f t="array" aca="1" ref="B24:I28" ca="1">OFFSET($B$2:$L$21,0,0,$A$24,8)</f>
        <v>2001</v>
      </c>
      <c r="C24" t="str">
        <f ca="1"/>
        <v>Keyboard</v>
      </c>
      <c r="D24" t="str">
        <f ca="1"/>
        <v>South</v>
      </c>
      <c r="E24" t="str">
        <f ca="1"/>
        <v>Person 1</v>
      </c>
      <c r="F24" s="15">
        <f ca="1"/>
        <v>7048</v>
      </c>
      <c r="G24" s="16">
        <f ca="1"/>
        <v>0.03</v>
      </c>
      <c r="H24" s="16">
        <f ca="1"/>
        <v>6836.56</v>
      </c>
      <c r="I24">
        <f ca="1"/>
        <v>44927</v>
      </c>
    </row>
    <row r="25" spans="1:12" x14ac:dyDescent="0.25">
      <c r="B25">
        <f ca="1"/>
        <v>2002</v>
      </c>
      <c r="C25" t="str">
        <f ca="1"/>
        <v>Printer</v>
      </c>
      <c r="D25" t="str">
        <f ca="1"/>
        <v>West</v>
      </c>
      <c r="E25" t="str">
        <f ca="1"/>
        <v>Person 2</v>
      </c>
      <c r="F25" s="15">
        <f ca="1"/>
        <v>17428</v>
      </c>
      <c r="G25" s="16">
        <f ca="1"/>
        <v>0.05</v>
      </c>
      <c r="H25" s="16">
        <f ca="1"/>
        <v>16556.599999999999</v>
      </c>
      <c r="I25">
        <f ca="1"/>
        <v>44942</v>
      </c>
    </row>
    <row r="26" spans="1:12" x14ac:dyDescent="0.25">
      <c r="B26">
        <f ca="1"/>
        <v>2003</v>
      </c>
      <c r="C26" t="str">
        <f ca="1"/>
        <v>Mouse</v>
      </c>
      <c r="D26" t="str">
        <f ca="1"/>
        <v>South</v>
      </c>
      <c r="E26" t="str">
        <f ca="1"/>
        <v>Person 3</v>
      </c>
      <c r="F26" s="15">
        <f ca="1"/>
        <v>23672</v>
      </c>
      <c r="G26" s="16">
        <f ca="1"/>
        <v>0.05</v>
      </c>
      <c r="H26" s="16">
        <f ca="1"/>
        <v>22488.400000000001</v>
      </c>
      <c r="I26">
        <f ca="1"/>
        <v>44957</v>
      </c>
    </row>
    <row r="27" spans="1:12" x14ac:dyDescent="0.25">
      <c r="B27">
        <f ca="1"/>
        <v>2004</v>
      </c>
      <c r="C27" t="str">
        <f ca="1"/>
        <v>Printer</v>
      </c>
      <c r="D27" t="str">
        <f ca="1"/>
        <v>East</v>
      </c>
      <c r="E27" t="str">
        <f ca="1"/>
        <v>Person 4</v>
      </c>
      <c r="F27" s="15">
        <f ca="1"/>
        <v>5264</v>
      </c>
      <c r="G27" s="16">
        <f ca="1"/>
        <v>0.03</v>
      </c>
      <c r="H27" s="16">
        <f ca="1"/>
        <v>5106.08</v>
      </c>
      <c r="I27">
        <f ca="1"/>
        <v>44972</v>
      </c>
    </row>
    <row r="28" spans="1:12" x14ac:dyDescent="0.25">
      <c r="B28">
        <f ca="1"/>
        <v>2005</v>
      </c>
      <c r="C28" t="str">
        <f ca="1"/>
        <v>Keyboard</v>
      </c>
      <c r="D28" t="str">
        <f ca="1"/>
        <v>North</v>
      </c>
      <c r="E28" t="str">
        <f ca="1"/>
        <v>Person 5</v>
      </c>
      <c r="F28" s="15">
        <f ca="1"/>
        <v>43388</v>
      </c>
      <c r="G28" s="16">
        <f ca="1"/>
        <v>0.1</v>
      </c>
      <c r="H28" s="16">
        <f ca="1"/>
        <v>39049.199999999997</v>
      </c>
      <c r="I28">
        <f ca="1"/>
        <v>44987</v>
      </c>
    </row>
  </sheetData>
  <dataValidations count="4">
    <dataValidation type="list" allowBlank="1" showInputMessage="1" showErrorMessage="1" sqref="N2" xr:uid="{A9D3D65C-CC89-4E72-A804-3D506AD04772}">
      <formula1>$B$2:$B$21</formula1>
    </dataValidation>
    <dataValidation type="list" allowBlank="1" showInputMessage="1" showErrorMessage="1" sqref="N6" xr:uid="{90643B01-C2AD-408B-A11C-0BA5DA785919}">
      <formula1>$D$2:$D$21</formula1>
    </dataValidation>
    <dataValidation type="list" allowBlank="1" showInputMessage="1" showErrorMessage="1" sqref="O6 N13" xr:uid="{D893777A-EB41-494F-81FD-F7E60646CA1B}">
      <formula1>$C$2:$C$21</formula1>
    </dataValidation>
    <dataValidation type="list" allowBlank="1" showInputMessage="1" showErrorMessage="1" sqref="N9" xr:uid="{BEE04434-0ACF-402A-A546-06A295348427}">
      <formula1>$E$2:$E$21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3A95-1791-4199-870C-42119EF3E56C}">
  <dimension ref="A1:I21"/>
  <sheetViews>
    <sheetView zoomScaleNormal="100" workbookViewId="0">
      <selection activeCell="J4" sqref="J4"/>
    </sheetView>
  </sheetViews>
  <sheetFormatPr defaultRowHeight="15" x14ac:dyDescent="0.25"/>
  <cols>
    <col min="1" max="1" width="13" customWidth="1"/>
    <col min="2" max="2" width="22.28515625" customWidth="1"/>
    <col min="3" max="3" width="14" customWidth="1"/>
    <col min="4" max="4" width="18.140625" style="15" customWidth="1"/>
    <col min="5" max="5" width="21" customWidth="1"/>
    <col min="6" max="6" width="11.42578125" customWidth="1"/>
    <col min="7" max="7" width="17" customWidth="1"/>
    <col min="8" max="8" width="12.28515625" bestFit="1" customWidth="1"/>
    <col min="9" max="9" width="11.42578125" bestFit="1" customWidth="1"/>
  </cols>
  <sheetData>
    <row r="1" spans="1:9" ht="30.75" thickBot="1" x14ac:dyDescent="0.3">
      <c r="A1" s="4" t="s">
        <v>72</v>
      </c>
      <c r="B1" s="5" t="s">
        <v>0</v>
      </c>
      <c r="C1" s="5" t="s">
        <v>15</v>
      </c>
      <c r="D1" s="5" t="s">
        <v>16</v>
      </c>
      <c r="E1" s="5" t="s">
        <v>17</v>
      </c>
      <c r="F1" s="1"/>
      <c r="G1" s="1"/>
      <c r="H1" s="4" t="s">
        <v>0</v>
      </c>
      <c r="I1" s="4" t="s">
        <v>16</v>
      </c>
    </row>
    <row r="2" spans="1:9" ht="15.75" thickBot="1" x14ac:dyDescent="0.3">
      <c r="A2" s="6">
        <v>3001</v>
      </c>
      <c r="B2" s="7" t="s">
        <v>73</v>
      </c>
      <c r="C2" s="7" t="s">
        <v>20</v>
      </c>
      <c r="D2" s="14">
        <v>86766</v>
      </c>
      <c r="E2" s="8">
        <v>42005</v>
      </c>
      <c r="F2" s="2"/>
      <c r="G2" s="3"/>
      <c r="H2" s="28" t="s">
        <v>74</v>
      </c>
      <c r="I2" s="29">
        <f>INDEX($A$2:$E$21,MATCH($H$2,$B$2:$B$21,0),4)</f>
        <v>31943</v>
      </c>
    </row>
    <row r="3" spans="1:9" ht="15.75" thickBot="1" x14ac:dyDescent="0.3">
      <c r="A3" s="6">
        <v>3002</v>
      </c>
      <c r="B3" s="7" t="s">
        <v>74</v>
      </c>
      <c r="C3" s="7" t="s">
        <v>20</v>
      </c>
      <c r="D3" s="14">
        <v>31943</v>
      </c>
      <c r="E3" s="8">
        <v>42255</v>
      </c>
      <c r="F3" s="2"/>
      <c r="G3" s="3"/>
    </row>
    <row r="4" spans="1:9" ht="15.75" thickBot="1" x14ac:dyDescent="0.3">
      <c r="A4" s="6">
        <v>3003</v>
      </c>
      <c r="B4" s="7" t="s">
        <v>75</v>
      </c>
      <c r="C4" s="7" t="s">
        <v>18</v>
      </c>
      <c r="D4" s="14">
        <v>63374</v>
      </c>
      <c r="E4" s="8">
        <v>42505</v>
      </c>
      <c r="F4" s="2"/>
      <c r="G4" s="3"/>
      <c r="H4" s="4" t="s">
        <v>115</v>
      </c>
      <c r="I4" s="4" t="s">
        <v>117</v>
      </c>
    </row>
    <row r="5" spans="1:9" ht="15.75" thickBot="1" x14ac:dyDescent="0.3">
      <c r="A5" s="6">
        <v>3004</v>
      </c>
      <c r="B5" s="7" t="s">
        <v>76</v>
      </c>
      <c r="C5" s="7" t="s">
        <v>20</v>
      </c>
      <c r="D5" s="14">
        <v>109972</v>
      </c>
      <c r="E5" s="8">
        <v>42755</v>
      </c>
      <c r="F5" s="2"/>
      <c r="G5" s="3"/>
      <c r="H5" t="s">
        <v>116</v>
      </c>
      <c r="I5" cm="1">
        <f t="array" aca="1" ref="I5" ca="1">INDIRECT(H5,1)</f>
        <v>3001</v>
      </c>
    </row>
    <row r="6" spans="1:9" ht="15.75" thickBot="1" x14ac:dyDescent="0.3">
      <c r="A6" s="6">
        <v>3005</v>
      </c>
      <c r="B6" s="7" t="s">
        <v>77</v>
      </c>
      <c r="C6" s="7" t="s">
        <v>19</v>
      </c>
      <c r="D6" s="14">
        <v>54149</v>
      </c>
      <c r="E6" s="8">
        <v>43005</v>
      </c>
      <c r="F6" s="2"/>
      <c r="G6" s="3"/>
    </row>
    <row r="7" spans="1:9" ht="15.75" thickBot="1" x14ac:dyDescent="0.3">
      <c r="A7" s="6">
        <v>3006</v>
      </c>
      <c r="B7" s="7" t="s">
        <v>78</v>
      </c>
      <c r="C7" s="7" t="s">
        <v>19</v>
      </c>
      <c r="D7" s="14">
        <v>78689</v>
      </c>
      <c r="E7" s="8">
        <v>43255</v>
      </c>
      <c r="F7" s="2"/>
      <c r="G7" s="3"/>
    </row>
    <row r="8" spans="1:9" ht="15.75" thickBot="1" x14ac:dyDescent="0.3">
      <c r="A8" s="6">
        <v>3007</v>
      </c>
      <c r="B8" s="7" t="s">
        <v>79</v>
      </c>
      <c r="C8" s="7" t="s">
        <v>21</v>
      </c>
      <c r="D8" s="14">
        <v>35960</v>
      </c>
      <c r="E8" s="8">
        <v>43505</v>
      </c>
      <c r="F8" s="2"/>
      <c r="G8" s="3"/>
    </row>
    <row r="9" spans="1:9" ht="15.75" thickBot="1" x14ac:dyDescent="0.3">
      <c r="A9" s="6">
        <v>3008</v>
      </c>
      <c r="B9" s="7" t="s">
        <v>80</v>
      </c>
      <c r="C9" s="7" t="s">
        <v>19</v>
      </c>
      <c r="D9" s="14">
        <v>91659</v>
      </c>
      <c r="E9" s="8">
        <v>43755</v>
      </c>
      <c r="F9" s="2"/>
      <c r="G9" s="3"/>
    </row>
    <row r="10" spans="1:9" ht="15.75" thickBot="1" x14ac:dyDescent="0.3">
      <c r="A10" s="6">
        <v>3009</v>
      </c>
      <c r="B10" s="7" t="s">
        <v>81</v>
      </c>
      <c r="C10" s="7" t="s">
        <v>19</v>
      </c>
      <c r="D10" s="14">
        <v>90423</v>
      </c>
      <c r="E10" s="8">
        <v>44005</v>
      </c>
      <c r="F10" s="2"/>
      <c r="G10" s="3"/>
    </row>
    <row r="11" spans="1:9" ht="15.75" thickBot="1" x14ac:dyDescent="0.3">
      <c r="A11" s="6">
        <v>3010</v>
      </c>
      <c r="B11" s="7" t="s">
        <v>82</v>
      </c>
      <c r="C11" s="7" t="s">
        <v>18</v>
      </c>
      <c r="D11" s="14">
        <v>107877</v>
      </c>
      <c r="E11" s="8">
        <v>44255</v>
      </c>
      <c r="F11" s="2"/>
      <c r="G11" s="3"/>
    </row>
    <row r="12" spans="1:9" ht="15.75" thickBot="1" x14ac:dyDescent="0.3">
      <c r="A12" s="6">
        <v>3011</v>
      </c>
      <c r="B12" s="7" t="s">
        <v>83</v>
      </c>
      <c r="C12" s="7" t="s">
        <v>20</v>
      </c>
      <c r="D12" s="14">
        <v>107634</v>
      </c>
      <c r="E12" s="8">
        <v>44505</v>
      </c>
    </row>
    <row r="13" spans="1:9" ht="15.75" thickBot="1" x14ac:dyDescent="0.3">
      <c r="A13" s="6">
        <v>3012</v>
      </c>
      <c r="B13" s="7" t="s">
        <v>84</v>
      </c>
      <c r="C13" s="7" t="s">
        <v>20</v>
      </c>
      <c r="D13" s="14">
        <v>35226</v>
      </c>
      <c r="E13" s="8">
        <v>44755</v>
      </c>
    </row>
    <row r="14" spans="1:9" ht="15.75" thickBot="1" x14ac:dyDescent="0.3">
      <c r="A14" s="6">
        <v>3013</v>
      </c>
      <c r="B14" s="7" t="s">
        <v>85</v>
      </c>
      <c r="C14" s="7" t="s">
        <v>18</v>
      </c>
      <c r="D14" s="14">
        <v>40872</v>
      </c>
      <c r="E14" s="8">
        <v>45005</v>
      </c>
    </row>
    <row r="15" spans="1:9" ht="15.75" thickBot="1" x14ac:dyDescent="0.3">
      <c r="A15" s="6">
        <v>3014</v>
      </c>
      <c r="B15" s="7" t="s">
        <v>86</v>
      </c>
      <c r="C15" s="7" t="s">
        <v>18</v>
      </c>
      <c r="D15" s="14">
        <v>55378</v>
      </c>
      <c r="E15" s="8">
        <v>45255</v>
      </c>
    </row>
    <row r="16" spans="1:9" ht="15.75" thickBot="1" x14ac:dyDescent="0.3">
      <c r="A16" s="6">
        <v>3015</v>
      </c>
      <c r="B16" s="7" t="s">
        <v>87</v>
      </c>
      <c r="C16" s="7" t="s">
        <v>18</v>
      </c>
      <c r="D16" s="14">
        <v>63297</v>
      </c>
      <c r="E16" s="8">
        <v>45505</v>
      </c>
    </row>
    <row r="17" spans="1:5" ht="15.75" thickBot="1" x14ac:dyDescent="0.3">
      <c r="A17" s="6">
        <v>3016</v>
      </c>
      <c r="B17" s="7" t="s">
        <v>88</v>
      </c>
      <c r="C17" s="7" t="s">
        <v>20</v>
      </c>
      <c r="D17" s="14">
        <v>114173</v>
      </c>
      <c r="E17" s="8">
        <v>45755</v>
      </c>
    </row>
    <row r="18" spans="1:5" ht="15.75" thickBot="1" x14ac:dyDescent="0.3">
      <c r="A18" s="6">
        <v>3017</v>
      </c>
      <c r="B18" s="7" t="s">
        <v>89</v>
      </c>
      <c r="C18" s="7" t="s">
        <v>18</v>
      </c>
      <c r="D18" s="14">
        <v>86915</v>
      </c>
      <c r="E18" s="8">
        <v>46005</v>
      </c>
    </row>
    <row r="19" spans="1:5" ht="15.75" thickBot="1" x14ac:dyDescent="0.3">
      <c r="A19" s="6">
        <v>3018</v>
      </c>
      <c r="B19" s="7" t="s">
        <v>90</v>
      </c>
      <c r="C19" s="7" t="s">
        <v>19</v>
      </c>
      <c r="D19" s="14">
        <v>116284</v>
      </c>
      <c r="E19" s="8">
        <v>46255</v>
      </c>
    </row>
    <row r="20" spans="1:5" ht="15.75" thickBot="1" x14ac:dyDescent="0.3">
      <c r="A20" s="6">
        <v>3019</v>
      </c>
      <c r="B20" s="7" t="s">
        <v>91</v>
      </c>
      <c r="C20" s="7" t="s">
        <v>21</v>
      </c>
      <c r="D20" s="14">
        <v>116283</v>
      </c>
      <c r="E20" s="8">
        <v>46505</v>
      </c>
    </row>
    <row r="21" spans="1:5" ht="15.75" thickBot="1" x14ac:dyDescent="0.3">
      <c r="A21" s="6">
        <v>3020</v>
      </c>
      <c r="B21" s="7" t="s">
        <v>92</v>
      </c>
      <c r="C21" s="7" t="s">
        <v>21</v>
      </c>
      <c r="D21" s="14">
        <v>99924</v>
      </c>
      <c r="E21" s="8">
        <v>46755</v>
      </c>
    </row>
  </sheetData>
  <dataValidations count="1">
    <dataValidation type="list" allowBlank="1" showInputMessage="1" showErrorMessage="1" sqref="H2" xr:uid="{63AE979E-1E3A-4B3E-95D6-86277ED65F0A}">
      <formula1>$B$2:$B$21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5533-C59C-420B-A734-CDD705EBC86B}">
  <dimension ref="A1:F5"/>
  <sheetViews>
    <sheetView workbookViewId="0">
      <selection activeCell="F3" sqref="F3"/>
    </sheetView>
  </sheetViews>
  <sheetFormatPr defaultRowHeight="15" x14ac:dyDescent="0.25"/>
  <cols>
    <col min="1" max="1" width="14.85546875" customWidth="1"/>
    <col min="2" max="2" width="10.7109375" bestFit="1" customWidth="1"/>
    <col min="3" max="3" width="10.42578125" bestFit="1" customWidth="1"/>
    <col min="4" max="4" width="15.85546875" bestFit="1" customWidth="1"/>
    <col min="5" max="5" width="14.5703125" bestFit="1" customWidth="1"/>
    <col min="6" max="6" width="13.42578125" bestFit="1" customWidth="1"/>
  </cols>
  <sheetData>
    <row r="1" spans="1:6" x14ac:dyDescent="0.25">
      <c r="A1" s="26" t="s">
        <v>105</v>
      </c>
      <c r="B1" s="26" t="s">
        <v>110</v>
      </c>
      <c r="C1" s="26" t="s">
        <v>111</v>
      </c>
      <c r="D1" s="26" t="s">
        <v>112</v>
      </c>
      <c r="E1" s="26" t="s">
        <v>113</v>
      </c>
      <c r="F1" s="26" t="s">
        <v>114</v>
      </c>
    </row>
    <row r="2" spans="1:6" x14ac:dyDescent="0.25">
      <c r="A2" t="s">
        <v>106</v>
      </c>
      <c r="B2" t="str">
        <f>LEFT(Table3[[#This Row],[Full Name]],5)</f>
        <v>Aarav</v>
      </c>
      <c r="C2" t="str">
        <f>RIGHT(Table3[[#This Row],[Full Name]],6)</f>
        <v>Sharma</v>
      </c>
      <c r="D2">
        <f>FIND(Table3[[#This Row],[Last Name]],Table3[[#This Row],[Full Name]],1)</f>
        <v>7</v>
      </c>
      <c r="E2" s="36" t="str">
        <f>UPPER(Table3[[#This Row],[Full Name]])</f>
        <v>AARAV SHARMA</v>
      </c>
      <c r="F2" s="36" t="str">
        <f>LOWER(Table3[[#This Row],[Full Name]])</f>
        <v>aarav sharma</v>
      </c>
    </row>
    <row r="3" spans="1:6" x14ac:dyDescent="0.25">
      <c r="A3" t="s">
        <v>107</v>
      </c>
      <c r="B3" t="str">
        <f>LEFT(Table3[[#This Row],[Full Name]],5)</f>
        <v>Priya</v>
      </c>
      <c r="C3" t="str">
        <f>RIGHT(Table3[[#This Row],[Full Name]],6)</f>
        <v>Kapoor</v>
      </c>
      <c r="D3">
        <f>FIND(Table3[[#This Row],[Last Name]],Table3[[#This Row],[Full Name]],1)</f>
        <v>7</v>
      </c>
      <c r="E3" s="36" t="str">
        <f>UPPER(Table3[[#This Row],[Full Name]])</f>
        <v>PRIYA KAPOOR</v>
      </c>
      <c r="F3" s="36" t="str">
        <f>LOWER(Table3[[#This Row],[Full Name]])</f>
        <v>priya kapoor</v>
      </c>
    </row>
    <row r="4" spans="1:6" x14ac:dyDescent="0.25">
      <c r="A4" t="s">
        <v>108</v>
      </c>
      <c r="B4" t="str">
        <f>LEFT(Table3[[#This Row],[Full Name]],5)</f>
        <v>Rohan</v>
      </c>
      <c r="C4" t="str">
        <f>RIGHT(Table3[[#This Row],[Full Name]],6)</f>
        <v xml:space="preserve"> Mehta</v>
      </c>
      <c r="D4">
        <f>FIND(Table3[[#This Row],[Last Name]],Table3[[#This Row],[Full Name]],1)</f>
        <v>6</v>
      </c>
      <c r="E4" s="36" t="str">
        <f>UPPER(Table3[[#This Row],[Full Name]])</f>
        <v>ROHAN MEHTA</v>
      </c>
      <c r="F4" s="36" t="str">
        <f>LOWER(Table3[[#This Row],[Full Name]])</f>
        <v>rohan mehta</v>
      </c>
    </row>
    <row r="5" spans="1:6" x14ac:dyDescent="0.25">
      <c r="A5" t="s">
        <v>109</v>
      </c>
      <c r="B5" t="str">
        <f>LEFT(Table3[[#This Row],[Full Name]],5)</f>
        <v xml:space="preserve">Neha </v>
      </c>
      <c r="C5" t="str">
        <f>RIGHT(Table3[[#This Row],[Full Name]],6)</f>
        <v xml:space="preserve"> Verma</v>
      </c>
      <c r="D5">
        <f>FIND(Table3[[#This Row],[Last Name]],Table3[[#This Row],[Full Name]],1)</f>
        <v>5</v>
      </c>
      <c r="E5" s="36" t="str">
        <f>UPPER(Table3[[#This Row],[Full Name]])</f>
        <v>NEHA VERMA</v>
      </c>
      <c r="F5" s="36" t="str">
        <f>LOWER(Table3[[#This Row],[Full Name]])</f>
        <v>neha verma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3C2D-401F-49AB-ADF3-40A50D944ECB}">
  <dimension ref="A1:K21"/>
  <sheetViews>
    <sheetView workbookViewId="0">
      <selection activeCell="C3" sqref="C3"/>
    </sheetView>
  </sheetViews>
  <sheetFormatPr defaultRowHeight="15" x14ac:dyDescent="0.25"/>
  <cols>
    <col min="1" max="1" width="16.28515625" customWidth="1"/>
    <col min="11" max="11" width="10.42578125" bestFit="1" customWidth="1"/>
  </cols>
  <sheetData>
    <row r="1" spans="1:11" x14ac:dyDescent="0.25">
      <c r="A1" s="40" t="s">
        <v>119</v>
      </c>
      <c r="B1" s="26" t="s">
        <v>120</v>
      </c>
      <c r="C1" t="s">
        <v>122</v>
      </c>
      <c r="K1" s="26" t="s">
        <v>121</v>
      </c>
    </row>
    <row r="2" spans="1:11" x14ac:dyDescent="0.25">
      <c r="A2" s="39">
        <v>33678</v>
      </c>
      <c r="B2">
        <f ca="1">DATEDIF(A2,$K$2,"Y")</f>
        <v>33</v>
      </c>
      <c r="C2">
        <f ca="1">DATEDIF(Table6[[#This Row],[Birth Date]],$K$2,"D")</f>
        <v>12294</v>
      </c>
      <c r="K2" s="38">
        <f ca="1">TODAY()</f>
        <v>45972</v>
      </c>
    </row>
    <row r="3" spans="1:11" x14ac:dyDescent="0.25">
      <c r="A3" s="39">
        <v>32346</v>
      </c>
      <c r="B3">
        <f t="shared" ref="B3:B21" ca="1" si="0">DATEDIF(A3,$K$2,"Y")</f>
        <v>37</v>
      </c>
      <c r="C3">
        <f ca="1">DATEDIF(Table6[[#This Row],[Birth Date]],$K$2,"D")</f>
        <v>13626</v>
      </c>
    </row>
    <row r="4" spans="1:11" x14ac:dyDescent="0.25">
      <c r="A4" s="39">
        <v>35012</v>
      </c>
      <c r="B4">
        <f t="shared" ca="1" si="0"/>
        <v>30</v>
      </c>
      <c r="C4">
        <f ca="1">DATEDIF(Table6[[#This Row],[Birth Date]],$K$2,"D")</f>
        <v>10960</v>
      </c>
    </row>
    <row r="5" spans="1:11" x14ac:dyDescent="0.25">
      <c r="A5" s="39">
        <v>32903</v>
      </c>
      <c r="B5">
        <f t="shared" ca="1" si="0"/>
        <v>35</v>
      </c>
      <c r="C5">
        <f ca="1">DATEDIF(Table6[[#This Row],[Birth Date]],$K$2,"D")</f>
        <v>13069</v>
      </c>
    </row>
    <row r="6" spans="1:11" x14ac:dyDescent="0.25">
      <c r="A6" s="39">
        <v>35933</v>
      </c>
      <c r="B6">
        <f t="shared" ca="1" si="0"/>
        <v>27</v>
      </c>
      <c r="C6">
        <f ca="1">DATEDIF(Table6[[#This Row],[Birth Date]],$K$2,"D")</f>
        <v>10039</v>
      </c>
    </row>
    <row r="7" spans="1:11" x14ac:dyDescent="0.25">
      <c r="A7" s="39">
        <v>34237</v>
      </c>
      <c r="B7">
        <f t="shared" ca="1" si="0"/>
        <v>32</v>
      </c>
      <c r="C7">
        <f ca="1">DATEDIF(Table6[[#This Row],[Birth Date]],$K$2,"D")</f>
        <v>11735</v>
      </c>
    </row>
    <row r="8" spans="1:11" x14ac:dyDescent="0.25">
      <c r="A8" s="39">
        <v>32121</v>
      </c>
      <c r="B8">
        <f t="shared" ca="1" si="0"/>
        <v>37</v>
      </c>
      <c r="C8">
        <f ca="1">DATEDIF(Table6[[#This Row],[Birth Date]],$K$2,"D")</f>
        <v>13851</v>
      </c>
    </row>
    <row r="9" spans="1:11" x14ac:dyDescent="0.25">
      <c r="A9" s="39">
        <v>35158</v>
      </c>
      <c r="B9">
        <f t="shared" ca="1" si="0"/>
        <v>29</v>
      </c>
      <c r="C9">
        <f ca="1">DATEDIF(Table6[[#This Row],[Birth Date]],$K$2,"D")</f>
        <v>10814</v>
      </c>
    </row>
    <row r="10" spans="1:11" x14ac:dyDescent="0.25">
      <c r="A10" s="39">
        <v>33464</v>
      </c>
      <c r="B10">
        <f t="shared" ca="1" si="0"/>
        <v>34</v>
      </c>
      <c r="C10">
        <f ca="1">DATEDIF(Table6[[#This Row],[Birth Date]],$K$2,"D")</f>
        <v>12508</v>
      </c>
    </row>
    <row r="11" spans="1:11" x14ac:dyDescent="0.25">
      <c r="A11" s="39">
        <v>36218</v>
      </c>
      <c r="B11">
        <f t="shared" ca="1" si="0"/>
        <v>26</v>
      </c>
      <c r="C11">
        <f ca="1">DATEDIF(Table6[[#This Row],[Birth Date]],$K$2,"D")</f>
        <v>9754</v>
      </c>
    </row>
    <row r="12" spans="1:11" x14ac:dyDescent="0.25">
      <c r="A12" s="39">
        <v>34504</v>
      </c>
      <c r="B12">
        <f t="shared" ca="1" si="0"/>
        <v>31</v>
      </c>
      <c r="C12">
        <f ca="1">DATEDIF(Table6[[#This Row],[Birth Date]],$K$2,"D")</f>
        <v>11468</v>
      </c>
    </row>
    <row r="13" spans="1:11" x14ac:dyDescent="0.25">
      <c r="A13" s="39">
        <v>32788</v>
      </c>
      <c r="B13">
        <f t="shared" ca="1" si="0"/>
        <v>36</v>
      </c>
      <c r="C13">
        <f ca="1">DATEDIF(Table6[[#This Row],[Birth Date]],$K$2,"D")</f>
        <v>13184</v>
      </c>
    </row>
    <row r="14" spans="1:11" x14ac:dyDescent="0.25">
      <c r="A14" s="39">
        <v>35793</v>
      </c>
      <c r="B14">
        <f t="shared" ca="1" si="0"/>
        <v>27</v>
      </c>
      <c r="C14">
        <f ca="1">DATEDIF(Table6[[#This Row],[Birth Date]],$K$2,"D")</f>
        <v>10179</v>
      </c>
    </row>
    <row r="15" spans="1:11" x14ac:dyDescent="0.25">
      <c r="A15" s="39">
        <v>33129</v>
      </c>
      <c r="B15">
        <f t="shared" ca="1" si="0"/>
        <v>35</v>
      </c>
      <c r="C15">
        <f ca="1">DATEDIF(Table6[[#This Row],[Birth Date]],$K$2,"D")</f>
        <v>12843</v>
      </c>
    </row>
    <row r="16" spans="1:11" x14ac:dyDescent="0.25">
      <c r="A16" s="39">
        <v>33974</v>
      </c>
      <c r="B16">
        <f t="shared" ca="1" si="0"/>
        <v>32</v>
      </c>
      <c r="C16">
        <f ca="1">DATEDIF(Table6[[#This Row],[Birth Date]],$K$2,"D")</f>
        <v>11998</v>
      </c>
    </row>
    <row r="17" spans="1:3" x14ac:dyDescent="0.25">
      <c r="A17" s="39">
        <v>34906</v>
      </c>
      <c r="B17">
        <f t="shared" ca="1" si="0"/>
        <v>30</v>
      </c>
      <c r="C17">
        <f ca="1">DATEDIF(Table6[[#This Row],[Birth Date]],$K$2,"D")</f>
        <v>11066</v>
      </c>
    </row>
    <row r="18" spans="1:3" x14ac:dyDescent="0.25">
      <c r="A18" s="39">
        <v>32458</v>
      </c>
      <c r="B18">
        <f t="shared" ca="1" si="0"/>
        <v>37</v>
      </c>
      <c r="C18">
        <f ca="1">DATEDIF(Table6[[#This Row],[Birth Date]],$K$2,"D")</f>
        <v>13514</v>
      </c>
    </row>
    <row r="19" spans="1:3" x14ac:dyDescent="0.25">
      <c r="A19" s="39">
        <v>36228</v>
      </c>
      <c r="B19">
        <f t="shared" ca="1" si="0"/>
        <v>26</v>
      </c>
      <c r="C19">
        <f ca="1">DATEDIF(Table6[[#This Row],[Birth Date]],$K$2,"D")</f>
        <v>9744</v>
      </c>
    </row>
    <row r="20" spans="1:3" x14ac:dyDescent="0.25">
      <c r="A20" s="39">
        <v>33744</v>
      </c>
      <c r="B20">
        <f t="shared" ca="1" si="0"/>
        <v>33</v>
      </c>
      <c r="C20">
        <f ca="1">DATEDIF(Table6[[#This Row],[Birth Date]],$K$2,"D")</f>
        <v>12228</v>
      </c>
    </row>
    <row r="21" spans="1:3" x14ac:dyDescent="0.25">
      <c r="A21" s="39">
        <v>35308</v>
      </c>
      <c r="B21">
        <f t="shared" ca="1" si="0"/>
        <v>29</v>
      </c>
      <c r="C21">
        <f ca="1">DATEDIF(Table6[[#This Row],[Birth Date]],$K$2,"D")</f>
        <v>10664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</vt:lpstr>
      <vt:lpstr>Sales Data</vt:lpstr>
      <vt:lpstr>Employee</vt:lpstr>
      <vt:lpstr>Text Function</vt:lpstr>
      <vt:lpstr>Date and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Vejpara</dc:creator>
  <cp:lastModifiedBy>Deep Vejpara</cp:lastModifiedBy>
  <dcterms:created xsi:type="dcterms:W3CDTF">2025-11-10T15:12:11Z</dcterms:created>
  <dcterms:modified xsi:type="dcterms:W3CDTF">2025-11-11T15:53:54Z</dcterms:modified>
</cp:coreProperties>
</file>